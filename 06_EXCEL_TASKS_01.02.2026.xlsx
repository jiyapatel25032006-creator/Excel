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25BBF723-CAA4-4E9B-8B30-31A90315F111}" xr6:coauthVersionLast="47" xr6:coauthVersionMax="47" xr10:uidLastSave="{00000000-0000-0000-0000-000000000000}"/>
  <bookViews>
    <workbookView xWindow="-120" yWindow="-120" windowWidth="29040" windowHeight="15720" activeTab="2" xr2:uid="{B8D3CAD1-8361-4ECD-82CF-7A60402A383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2" i="5"/>
  <c r="C3" i="5"/>
  <c r="C4" i="5"/>
  <c r="C5" i="5"/>
  <c r="C6" i="5"/>
  <c r="C2" i="5"/>
  <c r="B3" i="5"/>
  <c r="B4" i="5"/>
  <c r="B5" i="5"/>
  <c r="B6" i="5"/>
  <c r="C2" i="4"/>
  <c r="B3" i="2"/>
  <c r="B4" i="2"/>
  <c r="B5" i="2"/>
  <c r="B6" i="2"/>
  <c r="B2" i="2"/>
  <c r="D3" i="4"/>
  <c r="D4" i="4"/>
  <c r="D5" i="4"/>
  <c r="D6" i="4"/>
  <c r="D2" i="4"/>
  <c r="C3" i="4"/>
  <c r="C4" i="4"/>
  <c r="C5" i="4"/>
  <c r="C6" i="4"/>
  <c r="B3" i="4"/>
  <c r="B4" i="4"/>
  <c r="B5" i="4"/>
  <c r="B6" i="4"/>
  <c r="B2" i="4"/>
  <c r="D3" i="2"/>
  <c r="D4" i="2"/>
  <c r="D5" i="2"/>
  <c r="D6" i="2"/>
  <c r="D2" i="2"/>
  <c r="C3" i="2"/>
  <c r="C4" i="2"/>
  <c r="C5" i="2"/>
  <c r="C6" i="2"/>
  <c r="C2" i="2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<sst xmlns="http://schemas.openxmlformats.org/spreadsheetml/2006/main" count="49" uniqueCount="47">
  <si>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</si>
  <si>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</si>
  <si>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</si>
  <si>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</si>
  <si>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</si>
  <si>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</si>
  <si>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</si>
  <si>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</si>
  <si>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</si>
  <si>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</si>
  <si>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</si>
  <si>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</si>
  <si>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</si>
  <si>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</si>
  <si>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</si>
  <si>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</si>
  <si>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</si>
  <si>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</si>
  <si>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</si>
  <si>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</si>
  <si>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</si>
  <si>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</si>
  <si>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</si>
  <si>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</si>
  <si>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</si>
  <si>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</si>
  <si>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</si>
  <si>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</si>
  <si>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</si>
  <si>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</si>
  <si>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</si>
  <si>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</si>
  <si>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</si>
  <si>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</si>
  <si>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</si>
  <si>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</si>
  <si>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</si>
  <si>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</si>
  <si>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</si>
  <si>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</si>
  <si>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</si>
  <si>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</si>
  <si>
    <r>
      <rPr>
        <b/>
        <sz val="11"/>
        <color theme="9" tint="-0.249977111117893"/>
        <rFont val="Calibri"/>
        <family val="2"/>
        <scheme val="minor"/>
      </rPr>
      <t>Task 3: Website URL Split</t>
    </r>
    <r>
      <rPr>
        <b/>
        <sz val="11"/>
        <color rgb="FFFF0000"/>
        <rFont val="Calibri"/>
        <family val="2"/>
        <scheme val="minor"/>
      </rPr>
      <t xml:space="preserve">
Extract domain name (between www. and last .) using MID + FIND + SUBSTITUTE
Extract extension (after last .) using RIGHT + FIND</t>
    </r>
  </si>
  <si>
    <r>
      <rPr>
        <b/>
        <sz val="11"/>
        <color theme="9" tint="-0.249977111117893"/>
        <rFont val="Calibri"/>
        <family val="2"/>
        <scheme val="minor"/>
      </rPr>
      <t>Task 4: Invoice IDs</t>
    </r>
    <r>
      <rPr>
        <b/>
        <sz val="11"/>
        <color rgb="FFFF0000"/>
        <rFont val="Calibri"/>
        <family val="2"/>
        <scheme val="minor"/>
      </rPr>
      <t xml:space="preserve">
Prefix: Extract “INV” using LEFT
Number: Extract 6-digit number in middle using MID
Suffix: Extract last two letters using RIGHT</t>
    </r>
  </si>
  <si>
    <r>
      <rPr>
        <b/>
        <sz val="11"/>
        <color theme="9" tint="-0.249977111117893"/>
        <rFont val="Calibri"/>
        <family val="2"/>
        <scheme val="minor"/>
      </rPr>
      <t>Task  5: Phone Numbers Clean-up</t>
    </r>
    <r>
      <rPr>
        <b/>
        <sz val="11"/>
        <color rgb="FFFF0000"/>
        <rFont val="Calibri"/>
        <family val="2"/>
        <scheme val="minor"/>
      </rPr>
      <t xml:space="preserve">
Remove spaces and dashes using SUBSTITUTE and TRIM
Extract country code using LEFT + FIND
Extract phone number using MID + LEN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</si>
  <si>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9" tint="-0.249977111117893"/>
        <rFont val="Calibri"/>
        <family val="2"/>
        <scheme val="minor"/>
      </rPr>
      <t>Task 1: Product Codes Split</t>
    </r>
    <r>
      <rPr>
        <b/>
        <sz val="11"/>
        <color rgb="FFFF0000"/>
        <rFont val="Calibri"/>
        <family val="2"/>
        <scheme val="minor"/>
      </rPr>
      <t xml:space="preserve">
Category: Extract first part before "-" using LEFT + FIND
Product Number: Extract middle digits using MID + FIND
Country Code: Extract last two letters using RIGHT
</t>
    </r>
  </si>
  <si>
    <r>
      <rPr>
        <b/>
        <sz val="11"/>
        <color theme="9" tint="-0.249977111117893"/>
        <rFont val="Calibri"/>
        <family val="2"/>
        <scheme val="minor"/>
      </rPr>
      <t>Task 2: Customer Names Formatting</t>
    </r>
    <r>
      <rPr>
        <b/>
        <sz val="11"/>
        <color rgb="FFFF0000"/>
        <rFont val="Calibri"/>
        <family val="2"/>
        <scheme val="minor"/>
      </rPr>
      <t xml:space="preserve">
Remove extra spaces using TRIM
Convert names to UPPER
Convert names to PROPER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</si>
</sst>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  <font>
      <b/>
      <sz val="11"/>
      <color rgb="FFFF000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0" fillId="2" borderId="0" xfId="0" applyFont="1" applyFill="1"/>
    <xf numFmtId="0" fontId="0" fillId="0" borderId="0" xfId="0" applyFill="1"/>
    <xf numFmtId="0" fontId="0" fillId="0" borderId="0" xfId="0" applyFont="1"/>
    <xf numFmtId="0" fontId="7" fillId="2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wrapText="1" indent="1"/>
    </xf>
    <xf numFmtId="0" fontId="2" fillId="9" borderId="2" xfId="0" applyFont="1" applyFill="1" applyBorder="1" applyAlignment="1">
      <alignment horizontal="left" vertical="center" wrapText="1" indent="1"/>
    </xf>
    <xf numFmtId="0" fontId="7" fillId="8" borderId="2" xfId="0" applyFont="1" applyFill="1" applyBorder="1" applyAlignment="1">
      <alignment horizontal="left" vertical="center" wrapText="1" indent="1"/>
    </xf>
    <xf numFmtId="0" fontId="0" fillId="2" borderId="1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pedia.org/" TargetMode="External"/><Relationship Id="rId2" Type="http://schemas.openxmlformats.org/officeDocument/2006/relationships/hyperlink" Target="http://www.example.org/" TargetMode="External"/><Relationship Id="rId1" Type="http://schemas.openxmlformats.org/officeDocument/2006/relationships/hyperlink" Target="https://www.amazon.in/" TargetMode="External"/><Relationship Id="rId4" Type="http://schemas.openxmlformats.org/officeDocument/2006/relationships/hyperlink" Target="http://www.company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965F-BF67-409A-94C7-AAB028836897}">
  <dimension ref="A1:O14"/>
  <sheetViews>
    <sheetView workbookViewId="0">
      <selection activeCell="C18" sqref="C18"/>
    </sheetView>
  </sheetViews>
  <sheetFormatPr defaultRowHeight="15" x14ac:dyDescent="0.25"/>
  <cols>
    <col min="1" max="1" width="30.5703125" customWidth="1"/>
    <col min="2" max="2" width="20.7109375" customWidth="1"/>
    <col min="3" max="3" width="25.7109375" customWidth="1"/>
    <col min="4" max="4" width="13.5703125" customWidth="1"/>
  </cols>
  <sheetData>
    <row r="1" spans="1:15" ht="28.5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15" x14ac:dyDescent="0.25">
      <c r="A2" s="19" t="s">
        <v>4</v>
      </c>
      <c r="B2" s="21" t="str">
        <f>LEFT(A2,FIND("-",A2)-1)</f>
        <v>ELEC</v>
      </c>
      <c r="C2" s="13" t="str">
        <f>MID(A2,FIND("-",A2)+1,4)</f>
        <v>1023</v>
      </c>
      <c r="D2" s="12" t="str">
        <f>RIGHT(A2,2)</f>
        <v>US</v>
      </c>
    </row>
    <row r="3" spans="1:15" x14ac:dyDescent="0.25">
      <c r="A3" s="19" t="s">
        <v>5</v>
      </c>
      <c r="B3" s="21" t="str">
        <f t="shared" ref="B3:B6" si="0">LEFT(A3,FIND("-",A3)-1)</f>
        <v>FASH</v>
      </c>
      <c r="C3" s="13" t="str">
        <f t="shared" ref="C3:C6" si="1">MID(A3,FIND("-",A3)+1,4)</f>
        <v>2045</v>
      </c>
      <c r="D3" s="12" t="str">
        <f t="shared" ref="D3:D6" si="2">RIGHT(A3,2)</f>
        <v>UK</v>
      </c>
    </row>
    <row r="4" spans="1:15" x14ac:dyDescent="0.25">
      <c r="A4" s="19" t="s">
        <v>6</v>
      </c>
      <c r="B4" s="21" t="str">
        <f t="shared" si="0"/>
        <v>TOYS</v>
      </c>
      <c r="C4" s="13" t="str">
        <f t="shared" si="1"/>
        <v>3098</v>
      </c>
      <c r="D4" s="12" t="str">
        <f t="shared" si="2"/>
        <v>IN</v>
      </c>
    </row>
    <row r="5" spans="1:15" x14ac:dyDescent="0.25">
      <c r="A5" s="19" t="s">
        <v>7</v>
      </c>
      <c r="B5" s="21" t="str">
        <f t="shared" si="0"/>
        <v>FOOD</v>
      </c>
      <c r="C5" s="13" t="str">
        <f t="shared" si="1"/>
        <v>4512</v>
      </c>
      <c r="D5" s="12" t="str">
        <f t="shared" si="2"/>
        <v>AU</v>
      </c>
      <c r="J5" s="23" t="s">
        <v>45</v>
      </c>
      <c r="K5" s="24"/>
      <c r="L5" s="24"/>
      <c r="M5" s="24"/>
      <c r="N5" s="24"/>
      <c r="O5" s="24"/>
    </row>
    <row r="6" spans="1:15" x14ac:dyDescent="0.25">
      <c r="A6" s="19" t="s">
        <v>8</v>
      </c>
      <c r="B6" s="21" t="str">
        <f t="shared" si="0"/>
        <v>HOME</v>
      </c>
      <c r="C6" s="13" t="str">
        <f t="shared" si="1"/>
        <v>5679</v>
      </c>
      <c r="D6" s="12" t="str">
        <f t="shared" si="2"/>
        <v>US</v>
      </c>
      <c r="J6" s="24"/>
      <c r="K6" s="24"/>
      <c r="L6" s="24"/>
      <c r="M6" s="24"/>
      <c r="N6" s="24"/>
      <c r="O6" s="24"/>
    </row>
    <row r="7" spans="1:15" x14ac:dyDescent="0.25">
      <c r="J7" s="24"/>
      <c r="K7" s="24"/>
      <c r="L7" s="24"/>
      <c r="M7" s="24"/>
      <c r="N7" s="24"/>
      <c r="O7" s="24"/>
    </row>
    <row r="8" spans="1:15" x14ac:dyDescent="0.25">
      <c r="J8" s="24"/>
      <c r="K8" s="24"/>
      <c r="L8" s="24"/>
      <c r="M8" s="24"/>
      <c r="N8" s="24"/>
      <c r="O8" s="24"/>
    </row>
    <row r="9" spans="1:15" x14ac:dyDescent="0.25">
      <c r="J9" s="24"/>
      <c r="K9" s="24"/>
      <c r="L9" s="24"/>
      <c r="M9" s="24"/>
      <c r="N9" s="24"/>
      <c r="O9" s="24"/>
    </row>
    <row r="10" spans="1:15" x14ac:dyDescent="0.25">
      <c r="J10" s="24"/>
      <c r="K10" s="24"/>
      <c r="L10" s="24"/>
      <c r="M10" s="24"/>
      <c r="N10" s="24"/>
      <c r="O10" s="24"/>
    </row>
    <row r="11" spans="1:15" x14ac:dyDescent="0.25">
      <c r="J11" s="24"/>
      <c r="K11" s="24"/>
      <c r="L11" s="24"/>
      <c r="M11" s="24"/>
      <c r="N11" s="24"/>
      <c r="O11" s="24"/>
    </row>
    <row r="12" spans="1:15" x14ac:dyDescent="0.25">
      <c r="J12" s="24"/>
      <c r="K12" s="24"/>
      <c r="L12" s="24"/>
      <c r="M12" s="24"/>
      <c r="N12" s="24"/>
      <c r="O12" s="24"/>
    </row>
    <row r="13" spans="1:15" x14ac:dyDescent="0.25">
      <c r="J13" s="24"/>
      <c r="K13" s="24"/>
      <c r="L13" s="24"/>
      <c r="M13" s="24"/>
      <c r="N13" s="24"/>
      <c r="O13" s="24"/>
    </row>
    <row r="14" spans="1:15" x14ac:dyDescent="0.25">
      <c r="J14" s="24"/>
      <c r="K14" s="24"/>
      <c r="L14" s="24"/>
      <c r="M14" s="24"/>
      <c r="N14" s="24"/>
      <c r="O14" s="24"/>
    </row>
  </sheetData>
  <mergeCells count="1">
    <mergeCell ref="J5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195C-9765-4CDA-B928-449BA32FFA40}">
  <dimension ref="A1:P6"/>
  <sheetViews>
    <sheetView workbookViewId="0">
      <selection activeCell="F24" sqref="F24"/>
    </sheetView>
  </sheetViews>
  <sheetFormatPr defaultRowHeight="15" x14ac:dyDescent="0.25"/>
  <cols>
    <col min="1" max="1" width="14.28515625" customWidth="1"/>
    <col min="2" max="2" width="17" customWidth="1"/>
    <col min="3" max="3" width="11.85546875" customWidth="1"/>
    <col min="4" max="4" width="13" customWidth="1"/>
  </cols>
  <sheetData>
    <row r="1" spans="1:16" ht="28.5" x14ac:dyDescent="0.25">
      <c r="A1" s="11" t="s">
        <v>9</v>
      </c>
      <c r="B1" s="11" t="s">
        <v>10</v>
      </c>
      <c r="C1" s="11" t="s">
        <v>11</v>
      </c>
      <c r="D1" s="11" t="s">
        <v>12</v>
      </c>
    </row>
    <row r="2" spans="1:16" ht="33.75" customHeight="1" x14ac:dyDescent="0.25">
      <c r="A2" s="19" t="s">
        <v>13</v>
      </c>
      <c r="B2" s="10" t="str">
        <f>TRIM(A2)</f>
        <v>john DOE</v>
      </c>
      <c r="C2" s="13" t="str">
        <f>UPPER(A2)</f>
        <v>JOHN DOE</v>
      </c>
      <c r="D2" s="12" t="str">
        <f>PROPER(A2)</f>
        <v>John Doe</v>
      </c>
      <c r="J2" s="23" t="s">
        <v>46</v>
      </c>
      <c r="K2" s="23"/>
      <c r="L2" s="23"/>
      <c r="M2" s="23"/>
      <c r="N2" s="23"/>
      <c r="O2" s="23"/>
      <c r="P2" s="25"/>
    </row>
    <row r="3" spans="1:16" ht="33.75" customHeight="1" x14ac:dyDescent="0.25">
      <c r="A3" s="19" t="s">
        <v>14</v>
      </c>
      <c r="B3" s="10" t="str">
        <f t="shared" ref="B3:B6" si="0">TRIM(A3)</f>
        <v>mary jane</v>
      </c>
      <c r="C3" s="13" t="str">
        <f t="shared" ref="C3:C6" si="1">UPPER(A3)</f>
        <v>MARY JANE</v>
      </c>
      <c r="D3" s="12" t="str">
        <f t="shared" ref="D3:D6" si="2">PROPER(A3)</f>
        <v>Mary Jane</v>
      </c>
      <c r="J3" s="23"/>
      <c r="K3" s="23"/>
      <c r="L3" s="23"/>
      <c r="M3" s="23"/>
      <c r="N3" s="23"/>
      <c r="O3" s="23"/>
      <c r="P3" s="25"/>
    </row>
    <row r="4" spans="1:16" ht="33.75" customHeight="1" x14ac:dyDescent="0.25">
      <c r="A4" s="19" t="s">
        <v>15</v>
      </c>
      <c r="B4" s="10" t="str">
        <f t="shared" si="0"/>
        <v>robert smith</v>
      </c>
      <c r="C4" s="13" t="str">
        <f t="shared" si="1"/>
        <v>ROBERT SMITH</v>
      </c>
      <c r="D4" s="12" t="str">
        <f t="shared" si="2"/>
        <v>Robert Smith</v>
      </c>
      <c r="J4" s="23"/>
      <c r="K4" s="23"/>
      <c r="L4" s="23"/>
      <c r="M4" s="23"/>
      <c r="N4" s="23"/>
      <c r="O4" s="23"/>
      <c r="P4" s="25"/>
    </row>
    <row r="5" spans="1:16" ht="33.75" customHeight="1" x14ac:dyDescent="0.25">
      <c r="A5" s="19" t="s">
        <v>16</v>
      </c>
      <c r="B5" s="10" t="str">
        <f t="shared" si="0"/>
        <v>lisa Ann</v>
      </c>
      <c r="C5" s="13" t="str">
        <f t="shared" si="1"/>
        <v>LISA ANN</v>
      </c>
      <c r="D5" s="12" t="str">
        <f t="shared" si="2"/>
        <v>Lisa Ann</v>
      </c>
      <c r="J5" s="23"/>
      <c r="K5" s="23"/>
      <c r="L5" s="23"/>
      <c r="M5" s="23"/>
      <c r="N5" s="23"/>
      <c r="O5" s="23"/>
      <c r="P5" s="25"/>
    </row>
    <row r="6" spans="1:16" ht="50.25" customHeight="1" x14ac:dyDescent="0.25">
      <c r="A6" s="19" t="s">
        <v>17</v>
      </c>
      <c r="B6" s="10" t="str">
        <f t="shared" si="0"/>
        <v>david BROWN</v>
      </c>
      <c r="C6" s="13" t="str">
        <f t="shared" si="1"/>
        <v>DAVID BROWN</v>
      </c>
      <c r="D6" s="12" t="str">
        <f t="shared" si="2"/>
        <v>David Brown</v>
      </c>
      <c r="J6" s="23"/>
      <c r="K6" s="23"/>
      <c r="L6" s="23"/>
      <c r="M6" s="23"/>
      <c r="N6" s="23"/>
      <c r="O6" s="23"/>
      <c r="P6" s="25"/>
    </row>
  </sheetData>
  <mergeCells count="1">
    <mergeCell ref="J2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91AC-856D-4533-8CBE-49FD6C674014}">
  <dimension ref="A1:O10"/>
  <sheetViews>
    <sheetView tabSelected="1" workbookViewId="0">
      <selection activeCell="D12" sqref="D12"/>
    </sheetView>
  </sheetViews>
  <sheetFormatPr defaultRowHeight="15" x14ac:dyDescent="0.25"/>
  <cols>
    <col min="1" max="1" width="30" customWidth="1"/>
    <col min="2" max="2" width="13.7109375" customWidth="1"/>
    <col min="3" max="3" width="21" customWidth="1"/>
  </cols>
  <sheetData>
    <row r="1" spans="1:15" ht="52.5" thickBot="1" x14ac:dyDescent="0.3">
      <c r="A1" s="2" t="s">
        <v>18</v>
      </c>
      <c r="B1" s="2" t="s">
        <v>19</v>
      </c>
      <c r="C1" s="2" t="s">
        <v>20</v>
      </c>
    </row>
    <row r="2" spans="1:15" ht="18" thickBot="1" x14ac:dyDescent="0.3">
      <c r="A2" s="8" t="s">
        <v>21</v>
      </c>
      <c r="B2" s="3"/>
      <c r="C2" s="20"/>
    </row>
    <row r="3" spans="1:15" ht="18" customHeight="1" thickBot="1" x14ac:dyDescent="0.3">
      <c r="A3" s="8" t="s">
        <v>22</v>
      </c>
      <c r="B3" s="4"/>
      <c r="C3" s="4"/>
      <c r="J3" s="26" t="s">
        <v>42</v>
      </c>
      <c r="K3" s="27"/>
      <c r="L3" s="27"/>
      <c r="M3" s="27"/>
      <c r="N3" s="27"/>
      <c r="O3" s="28"/>
    </row>
    <row r="4" spans="1:15" ht="18" thickBot="1" x14ac:dyDescent="0.3">
      <c r="A4" s="8" t="s">
        <v>23</v>
      </c>
      <c r="B4" s="3"/>
      <c r="C4" s="3"/>
      <c r="J4" s="29"/>
      <c r="K4" s="30"/>
      <c r="L4" s="30"/>
      <c r="M4" s="30"/>
      <c r="N4" s="30"/>
      <c r="O4" s="31"/>
    </row>
    <row r="5" spans="1:15" ht="18" thickBot="1" x14ac:dyDescent="0.3">
      <c r="A5" s="8" t="s">
        <v>24</v>
      </c>
      <c r="B5" s="4"/>
      <c r="C5" s="4"/>
      <c r="J5" s="29"/>
      <c r="K5" s="30"/>
      <c r="L5" s="30"/>
      <c r="M5" s="30"/>
      <c r="N5" s="30"/>
      <c r="O5" s="31"/>
    </row>
    <row r="6" spans="1:15" ht="18" thickBot="1" x14ac:dyDescent="0.3">
      <c r="A6" s="8" t="s">
        <v>25</v>
      </c>
      <c r="B6" s="3"/>
      <c r="C6" s="1"/>
      <c r="J6" s="29"/>
      <c r="K6" s="30"/>
      <c r="L6" s="30"/>
      <c r="M6" s="30"/>
      <c r="N6" s="30"/>
      <c r="O6" s="31"/>
    </row>
    <row r="7" spans="1:15" x14ac:dyDescent="0.25">
      <c r="J7" s="29"/>
      <c r="K7" s="30"/>
      <c r="L7" s="30"/>
      <c r="M7" s="30"/>
      <c r="N7" s="30"/>
      <c r="O7" s="31"/>
    </row>
    <row r="8" spans="1:15" x14ac:dyDescent="0.25">
      <c r="J8" s="29"/>
      <c r="K8" s="30"/>
      <c r="L8" s="30"/>
      <c r="M8" s="30"/>
      <c r="N8" s="30"/>
      <c r="O8" s="31"/>
    </row>
    <row r="9" spans="1:15" x14ac:dyDescent="0.25">
      <c r="J9" s="29"/>
      <c r="K9" s="30"/>
      <c r="L9" s="30"/>
      <c r="M9" s="30"/>
      <c r="N9" s="30"/>
      <c r="O9" s="31"/>
    </row>
    <row r="10" spans="1:15" ht="15.75" thickBot="1" x14ac:dyDescent="0.3">
      <c r="J10" s="32"/>
      <c r="K10" s="33"/>
      <c r="L10" s="33"/>
      <c r="M10" s="33"/>
      <c r="N10" s="33"/>
      <c r="O10" s="34"/>
    </row>
  </sheetData>
  <mergeCells count="1">
    <mergeCell ref="J3:O10"/>
  </mergeCells>
  <hyperlinks>
    <hyperlink ref="A3" r:id="rId1" display="https://www.amazon.in/" xr:uid="{8FAABCA0-7413-4252-B13E-9876EE0B73D4}"/>
    <hyperlink ref="A4" r:id="rId2" display="http://www.example.org/" xr:uid="{621FA3ED-4036-42A4-B4F5-923F3E3C8B93}"/>
    <hyperlink ref="A5" r:id="rId3" display="https://www.wikipedia.org/" xr:uid="{5C1E5587-918D-4B0E-B6D6-870B68409FD0}"/>
    <hyperlink ref="A6" r:id="rId4" display="http://www.company.co.uk/" xr:uid="{09273FA9-1365-4015-909C-978429A3AA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66E4-B3D8-40D8-B0FB-B2C2C8181397}">
  <dimension ref="A1:R6"/>
  <sheetViews>
    <sheetView workbookViewId="0">
      <selection activeCell="L2" sqref="L2:Q5"/>
    </sheetView>
  </sheetViews>
  <sheetFormatPr defaultRowHeight="15" x14ac:dyDescent="0.25"/>
  <cols>
    <col min="1" max="1" width="20.7109375" customWidth="1"/>
    <col min="3" max="3" width="10.140625" customWidth="1"/>
  </cols>
  <sheetData>
    <row r="1" spans="1:18" ht="35.25" thickBot="1" x14ac:dyDescent="0.3">
      <c r="A1" s="14" t="s">
        <v>26</v>
      </c>
      <c r="B1" s="14" t="s">
        <v>27</v>
      </c>
      <c r="C1" s="14" t="s">
        <v>28</v>
      </c>
      <c r="D1" s="14" t="s">
        <v>29</v>
      </c>
    </row>
    <row r="2" spans="1:18" ht="52.5" customHeight="1" x14ac:dyDescent="0.25">
      <c r="A2" s="18" t="s">
        <v>30</v>
      </c>
      <c r="B2" s="15" t="str">
        <f>LEFT(A2,3)</f>
        <v>INV</v>
      </c>
      <c r="C2" s="16" t="str">
        <f>MID(A2,5,6)</f>
        <v>202301</v>
      </c>
      <c r="D2" s="17" t="str">
        <f>RIGHT(A2,2)</f>
        <v>US</v>
      </c>
      <c r="L2" s="26" t="s">
        <v>43</v>
      </c>
      <c r="M2" s="35"/>
      <c r="N2" s="35"/>
      <c r="O2" s="35"/>
      <c r="P2" s="35"/>
      <c r="Q2" s="36"/>
      <c r="R2" s="23"/>
    </row>
    <row r="3" spans="1:18" ht="52.5" customHeight="1" x14ac:dyDescent="0.25">
      <c r="A3" s="18" t="s">
        <v>31</v>
      </c>
      <c r="B3" s="15" t="str">
        <f t="shared" ref="B3:B6" si="0">LEFT(A3,3)</f>
        <v>INV</v>
      </c>
      <c r="C3" s="16" t="str">
        <f t="shared" ref="C3:C6" si="1">MID(A3,5,6)</f>
        <v>202302</v>
      </c>
      <c r="D3" s="17" t="str">
        <f t="shared" ref="D3:D6" si="2">RIGHT(A3,2)</f>
        <v>UK</v>
      </c>
      <c r="L3" s="37"/>
      <c r="M3" s="38"/>
      <c r="N3" s="38"/>
      <c r="O3" s="38"/>
      <c r="P3" s="38"/>
      <c r="Q3" s="39"/>
      <c r="R3" s="24"/>
    </row>
    <row r="4" spans="1:18" ht="52.5" customHeight="1" x14ac:dyDescent="0.25">
      <c r="A4" s="18" t="s">
        <v>32</v>
      </c>
      <c r="B4" s="15" t="str">
        <f t="shared" si="0"/>
        <v>INV</v>
      </c>
      <c r="C4" s="16" t="str">
        <f t="shared" si="1"/>
        <v>202303</v>
      </c>
      <c r="D4" s="17" t="str">
        <f t="shared" si="2"/>
        <v>IN</v>
      </c>
      <c r="L4" s="37"/>
      <c r="M4" s="38"/>
      <c r="N4" s="38"/>
      <c r="O4" s="38"/>
      <c r="P4" s="38"/>
      <c r="Q4" s="39"/>
      <c r="R4" s="24"/>
    </row>
    <row r="5" spans="1:18" ht="52.5" customHeight="1" thickBot="1" x14ac:dyDescent="0.3">
      <c r="A5" s="18" t="s">
        <v>33</v>
      </c>
      <c r="B5" s="15" t="str">
        <f t="shared" si="0"/>
        <v>INV</v>
      </c>
      <c r="C5" s="16" t="str">
        <f t="shared" si="1"/>
        <v>202304</v>
      </c>
      <c r="D5" s="17" t="str">
        <f t="shared" si="2"/>
        <v>AU</v>
      </c>
      <c r="L5" s="40"/>
      <c r="M5" s="41"/>
      <c r="N5" s="41"/>
      <c r="O5" s="41"/>
      <c r="P5" s="41"/>
      <c r="Q5" s="42"/>
      <c r="R5" s="24"/>
    </row>
    <row r="6" spans="1:18" ht="34.5" x14ac:dyDescent="0.25">
      <c r="A6" s="18" t="s">
        <v>34</v>
      </c>
      <c r="B6" s="15" t="str">
        <f t="shared" si="0"/>
        <v>INV</v>
      </c>
      <c r="C6" s="16" t="str">
        <f t="shared" si="1"/>
        <v>202305</v>
      </c>
      <c r="D6" s="17" t="str">
        <f t="shared" si="2"/>
        <v>US</v>
      </c>
    </row>
  </sheetData>
  <mergeCells count="2">
    <mergeCell ref="L2:Q5"/>
    <mergeCell ref="R2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9745-AD7B-4FBE-B0D0-D767226409EE}">
  <dimension ref="A1:P17"/>
  <sheetViews>
    <sheetView workbookViewId="0">
      <selection activeCell="Y7" sqref="Y4:AE7"/>
    </sheetView>
  </sheetViews>
  <sheetFormatPr defaultRowHeight="15" x14ac:dyDescent="0.25"/>
  <cols>
    <col min="1" max="1" width="24" customWidth="1"/>
    <col min="2" max="2" width="21.85546875" customWidth="1"/>
    <col min="3" max="3" width="16" customWidth="1"/>
    <col min="4" max="4" width="11.7109375" customWidth="1"/>
  </cols>
  <sheetData>
    <row r="1" spans="1:16" ht="17.25" thickBot="1" x14ac:dyDescent="0.3">
      <c r="A1" s="22" t="s">
        <v>35</v>
      </c>
      <c r="B1" s="22" t="s">
        <v>36</v>
      </c>
      <c r="C1" s="22" t="s">
        <v>3</v>
      </c>
      <c r="D1" s="22" t="s">
        <v>28</v>
      </c>
      <c r="E1" s="9"/>
    </row>
    <row r="2" spans="1:16" ht="17.25" thickBot="1" x14ac:dyDescent="0.3">
      <c r="A2" s="5" t="s">
        <v>37</v>
      </c>
      <c r="B2" s="5" t="str">
        <f>TRIM(SUBSTITUTE(A2,"-",""))</f>
        <v>+1 9876543210</v>
      </c>
      <c r="C2" s="5" t="str">
        <f>LEFT(A2,FIND(" ",A2)-1)</f>
        <v>+1</v>
      </c>
      <c r="D2" s="5"/>
      <c r="E2" s="9"/>
    </row>
    <row r="3" spans="1:16" ht="17.25" thickBot="1" x14ac:dyDescent="0.3">
      <c r="A3" s="6" t="s">
        <v>38</v>
      </c>
      <c r="B3" s="5" t="str">
        <f t="shared" ref="B3:B6" si="0">TRIM(SUBSTITUTE(A3,"-",""))</f>
        <v>+44 1234567890</v>
      </c>
      <c r="C3" s="5" t="str">
        <f t="shared" ref="C3:C6" si="1">LEFT(A3,FIND(" ",A3)-1)</f>
        <v>+44</v>
      </c>
      <c r="D3" s="6"/>
      <c r="E3" s="9"/>
    </row>
    <row r="4" spans="1:16" ht="17.25" thickBot="1" x14ac:dyDescent="0.3">
      <c r="A4" s="5" t="s">
        <v>39</v>
      </c>
      <c r="B4" s="5" t="str">
        <f t="shared" si="0"/>
        <v>+91 9876543210</v>
      </c>
      <c r="C4" s="5" t="str">
        <f t="shared" si="1"/>
        <v>+91</v>
      </c>
      <c r="D4" s="5"/>
      <c r="E4" s="9"/>
    </row>
    <row r="5" spans="1:16" ht="17.25" thickBot="1" x14ac:dyDescent="0.3">
      <c r="A5" s="6" t="s">
        <v>40</v>
      </c>
      <c r="B5" s="5" t="str">
        <f t="shared" si="0"/>
        <v>+61 412345678</v>
      </c>
      <c r="C5" s="5" t="str">
        <f t="shared" si="1"/>
        <v>+61</v>
      </c>
      <c r="D5" s="6"/>
      <c r="E5" s="9"/>
    </row>
    <row r="6" spans="1:16" ht="17.25" thickBot="1" x14ac:dyDescent="0.3">
      <c r="A6" s="5" t="s">
        <v>41</v>
      </c>
      <c r="B6" s="5" t="str">
        <f t="shared" si="0"/>
        <v>+49 1512345678</v>
      </c>
      <c r="C6" s="5" t="str">
        <f t="shared" si="1"/>
        <v>+49</v>
      </c>
      <c r="D6" s="7"/>
      <c r="E6" s="9"/>
    </row>
    <row r="7" spans="1:16" ht="15" customHeight="1" x14ac:dyDescent="0.25">
      <c r="J7" s="43" t="s">
        <v>44</v>
      </c>
      <c r="K7" s="44"/>
      <c r="L7" s="44"/>
      <c r="M7" s="44"/>
      <c r="N7" s="44"/>
      <c r="O7" s="44"/>
      <c r="P7" s="45"/>
    </row>
    <row r="8" spans="1:16" x14ac:dyDescent="0.25">
      <c r="J8" s="46"/>
      <c r="K8" s="47"/>
      <c r="L8" s="47"/>
      <c r="M8" s="47"/>
      <c r="N8" s="47"/>
      <c r="O8" s="47"/>
      <c r="P8" s="48"/>
    </row>
    <row r="9" spans="1:16" x14ac:dyDescent="0.25">
      <c r="J9" s="46"/>
      <c r="K9" s="47"/>
      <c r="L9" s="47"/>
      <c r="M9" s="47"/>
      <c r="N9" s="47"/>
      <c r="O9" s="47"/>
      <c r="P9" s="48"/>
    </row>
    <row r="10" spans="1:16" x14ac:dyDescent="0.25">
      <c r="J10" s="46"/>
      <c r="K10" s="47"/>
      <c r="L10" s="47"/>
      <c r="M10" s="47"/>
      <c r="N10" s="47"/>
      <c r="O10" s="47"/>
      <c r="P10" s="48"/>
    </row>
    <row r="11" spans="1:16" x14ac:dyDescent="0.25">
      <c r="J11" s="46"/>
      <c r="K11" s="47"/>
      <c r="L11" s="47"/>
      <c r="M11" s="47"/>
      <c r="N11" s="47"/>
      <c r="O11" s="47"/>
      <c r="P11" s="48"/>
    </row>
    <row r="12" spans="1:16" x14ac:dyDescent="0.25">
      <c r="J12" s="46"/>
      <c r="K12" s="47"/>
      <c r="L12" s="47"/>
      <c r="M12" s="47"/>
      <c r="N12" s="47"/>
      <c r="O12" s="47"/>
      <c r="P12" s="48"/>
    </row>
    <row r="13" spans="1:16" x14ac:dyDescent="0.25">
      <c r="J13" s="46"/>
      <c r="K13" s="47"/>
      <c r="L13" s="47"/>
      <c r="M13" s="47"/>
      <c r="N13" s="47"/>
      <c r="O13" s="47"/>
      <c r="P13" s="48"/>
    </row>
    <row r="14" spans="1:16" x14ac:dyDescent="0.25">
      <c r="J14" s="46"/>
      <c r="K14" s="47"/>
      <c r="L14" s="47"/>
      <c r="M14" s="47"/>
      <c r="N14" s="47"/>
      <c r="O14" s="47"/>
      <c r="P14" s="48"/>
    </row>
    <row r="15" spans="1:16" x14ac:dyDescent="0.25">
      <c r="J15" s="46"/>
      <c r="K15" s="47"/>
      <c r="L15" s="47"/>
      <c r="M15" s="47"/>
      <c r="N15" s="47"/>
      <c r="O15" s="47"/>
      <c r="P15" s="48"/>
    </row>
    <row r="16" spans="1:16" x14ac:dyDescent="0.25">
      <c r="J16" s="46"/>
      <c r="K16" s="47"/>
      <c r="L16" s="47"/>
      <c r="M16" s="47"/>
      <c r="N16" s="47"/>
      <c r="O16" s="47"/>
      <c r="P16" s="48"/>
    </row>
    <row r="17" spans="10:16" ht="15.75" thickBot="1" x14ac:dyDescent="0.3">
      <c r="J17" s="49"/>
      <c r="K17" s="50"/>
      <c r="L17" s="50"/>
      <c r="M17" s="50"/>
      <c r="N17" s="50"/>
      <c r="O17" s="50"/>
      <c r="P17" s="51"/>
    </row>
  </sheetData>
  <mergeCells count="1">
    <mergeCell ref="J7: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2026-02-01T05:52:13Z</dcterms:created>
  <dcterms:modified xsi:type="dcterms:W3CDTF">2026-02-01T07:42:33Z</dcterms:modified>
</cp:coreProperties>
</file>