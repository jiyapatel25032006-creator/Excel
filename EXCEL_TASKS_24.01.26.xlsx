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 GITHUB\DATA-ANALYTICS\"/>
    </mc:Choice>
  </mc:AlternateContent>
  <xr:revisionPtr revIDLastSave="0" documentId="13_ncr:1_{B3411FEC-7336-470B-BB0C-9DE5EA0A2DFE}" xr6:coauthVersionLast="47" xr6:coauthVersionMax="47" xr10:uidLastSave="{00000000-0000-0000-0000-000000000000}"/>
  <bookViews>
    <workbookView xWindow="-120" yWindow="-120" windowWidth="29040" windowHeight="15720" xr2:uid="{1D78211D-CBF0-46B4-A806-0E5A1AD6D8F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4" i="6" l="1"/>
  <c r="C23" i="6"/>
  <c r="C26" i="4"/>
  <c r="C25" i="4"/>
  <c r="C24" i="4"/>
  <c r="C23" i="4"/>
  <c r="G3" i="3"/>
  <c r="G4" i="3"/>
  <c r="G5" i="3"/>
  <c r="G6" i="3"/>
  <c r="G2" i="3"/>
  <c r="F3" i="3"/>
  <c r="F4" i="3"/>
  <c r="F5" i="3"/>
  <c r="F6" i="3"/>
  <c r="F2" i="3"/>
  <c r="C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D21" i="3"/>
  <c r="E21" i="3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8" i="2"/>
  <c r="F21" i="3" l="1"/>
  <c r="G21" i="3" s="1"/>
  <c r="F20" i="3"/>
  <c r="G20" i="3" s="1"/>
  <c r="F19" i="3"/>
  <c r="G19" i="3" s="1"/>
  <c r="F18" i="3"/>
  <c r="G18" i="3" s="1"/>
  <c r="F10" i="3"/>
  <c r="G10" i="3" s="1"/>
  <c r="F17" i="3"/>
  <c r="G17" i="3" s="1"/>
  <c r="F9" i="3"/>
  <c r="G9" i="3" s="1"/>
  <c r="F16" i="3"/>
  <c r="G16" i="3" s="1"/>
  <c r="F8" i="3"/>
  <c r="G8" i="3" s="1"/>
  <c r="F7" i="3"/>
  <c r="G7" i="3" s="1"/>
  <c r="F15" i="3"/>
  <c r="G15" i="3" s="1"/>
  <c r="F14" i="3"/>
  <c r="G14" i="3" s="1"/>
  <c r="F13" i="3"/>
  <c r="G13" i="3" s="1"/>
  <c r="F12" i="3"/>
  <c r="G12" i="3" s="1"/>
  <c r="F11" i="3"/>
  <c r="G11" i="3" s="1"/>
</calcChain>
</file>

<file path=xl/sharedStrings.xml><?xml version="1.0" encoding="utf-8"?>
<sst xmlns="http://schemas.openxmlformats.org/spreadsheetml/2006/main" count="455" uniqueCount="174">
  <si>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</si>
  <si>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</si>
  <si>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</si>
  <si>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</si>
  <si>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</si>
  <si>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</si>
  <si>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</si>
  <si>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</si>
  <si>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</si>
  <si>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</si>
  <si>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</si>
  <si>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</si>
  <si>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</si>
  <si>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</si>
  <si>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</si>
  <si>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</si>
  <si>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</si>
  <si>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</si>
  <si>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</si>
  <si>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</si>
  <si>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</si>
  <si>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</si>
  <si>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</si>
  <si>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</si>
  <si>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</si>
  <si>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</si>
  <si>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</si>
  <si>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</si>
  <si>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</si>
  <si>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</si>
  <si>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</si>
  <si>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</si>
  <si>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</si>
  <si>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Jiya Patel</t>
  </si>
  <si>
    <t>Hetvi Joshi</t>
  </si>
  <si>
    <t>Jyoti Patel</t>
  </si>
  <si>
    <t>Soni Shivam</t>
  </si>
  <si>
    <t>Sanjay Sirsikar</t>
  </si>
  <si>
    <t>Om Thakkar</t>
  </si>
  <si>
    <t>Vraj Pandya</t>
  </si>
  <si>
    <t>He Shah</t>
  </si>
  <si>
    <t>Raj Barot</t>
  </si>
  <si>
    <t>Krish Patel</t>
  </si>
  <si>
    <t>Khushi Jain</t>
  </si>
  <si>
    <t>Vasu Shah</t>
  </si>
  <si>
    <t>Krisha Joshi</t>
  </si>
  <si>
    <t>Dev Thakkar</t>
  </si>
  <si>
    <r>
      <rPr>
        <b/>
        <sz val="11"/>
        <color rgb="FFFF0000"/>
        <rFont val="Calibri"/>
        <family val="2"/>
        <scheme val="minor"/>
      </rPr>
      <t>Task 1</t>
    </r>
    <r>
      <rPr>
        <sz val="11"/>
        <color rgb="FFFF0000"/>
        <rFont val="Calibri"/>
        <family val="2"/>
        <scheme val="minor"/>
      </rPr>
      <t xml:space="preserve">
Format header row (Bold, Color)
Salary → Currency (₹)
Date → Date format
Apply borders and auto-fit columns
</t>
    </r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</si>
  <si>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</si>
  <si>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</si>
  <si>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</si>
  <si>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</si>
  <si>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</si>
  <si>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</si>
  <si>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</si>
  <si>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</si>
  <si>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</si>
  <si>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</si>
  <si>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</si>
  <si>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</si>
  <si>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</si>
  <si>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</si>
  <si>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</si>
  <si>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</si>
  <si>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</si>
  <si>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</si>
  <si>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</si>
  <si>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</si>
  <si>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</si>
  <si>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</si>
  <si>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</si>
  <si>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</si>
  <si>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</si>
  <si>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</si>
  <si>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</si>
  <si>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</si>
  <si>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</si>
  <si>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</si>
  <si>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</si>
  <si>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r>
      <rPr>
        <b/>
        <u/>
        <sz val="11"/>
        <color rgb="FFFF0000"/>
        <rFont val="Calibri"/>
        <family val="2"/>
        <scheme val="minor"/>
      </rPr>
      <t>Task 3</t>
    </r>
    <r>
      <rPr>
        <sz val="11"/>
        <color rgb="FFFF0000"/>
        <rFont val="Calibri"/>
        <family val="2"/>
        <scheme val="minor"/>
      </rPr>
      <t xml:space="preserve">
Calculate Percentage
Format percentage column
Apply cell styles to headers
</t>
    </r>
  </si>
  <si>
    <t>Total</t>
  </si>
  <si>
    <t>Invoice No</t>
  </si>
  <si>
    <t>Date</t>
  </si>
  <si>
    <t>INV001</t>
  </si>
  <si>
    <t>INV002</t>
  </si>
  <si>
    <t>INV003</t>
  </si>
  <si>
    <t>INV004</t>
  </si>
  <si>
    <t>INV005</t>
  </si>
  <si>
    <r>
      <rPr>
        <b/>
        <u/>
        <sz val="11"/>
        <color rgb="FFFF0000"/>
        <rFont val="Calibri"/>
        <family val="2"/>
        <scheme val="minor"/>
      </rPr>
      <t>Task 4</t>
    </r>
    <r>
      <rPr>
        <sz val="11"/>
        <color rgb="FFFF0000"/>
        <rFont val="Calibri"/>
        <family val="2"/>
        <scheme val="minor"/>
      </rPr>
      <t xml:space="preserve">
Calculate Total Sales
Find Average Sales
Identify Highest &amp; Lowest Sale</t>
    </r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</si>
  <si>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</si>
  <si>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</si>
  <si>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</si>
  <si>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</si>
  <si>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</si>
  <si>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</si>
  <si>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</si>
  <si>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</si>
  <si>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</si>
  <si>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</si>
  <si>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</si>
  <si>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</si>
  <si>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</si>
  <si>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</si>
  <si>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</si>
  <si>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Highest Sale</t>
  </si>
  <si>
    <t>Lowest Sale</t>
  </si>
  <si>
    <t>TOTAL SALES</t>
  </si>
  <si>
    <t>AVERAGE SALES</t>
  </si>
  <si>
    <t>Employee Name</t>
  </si>
  <si>
    <t>Suresh</t>
  </si>
  <si>
    <t>Meena</t>
  </si>
  <si>
    <t>Karan</t>
  </si>
  <si>
    <t>Ritu</t>
  </si>
  <si>
    <t>Aman</t>
  </si>
  <si>
    <t>Neel</t>
  </si>
  <si>
    <r>
      <rPr>
        <b/>
        <u/>
        <sz val="11"/>
        <color rgb="FFFF0000"/>
        <rFont val="Calibri"/>
        <family val="2"/>
        <scheme val="minor"/>
      </rPr>
      <t>Task 5</t>
    </r>
    <r>
      <rPr>
        <sz val="11"/>
        <color rgb="FFFF0000"/>
        <rFont val="Calibri"/>
        <family val="2"/>
        <scheme val="minor"/>
      </rPr>
      <t xml:space="preserve">
Total salary per department
Average salary
Count employees</t>
    </r>
  </si>
  <si>
    <t>TOTAL SALARY FINANCE DEPT</t>
  </si>
  <si>
    <t>TOTAL SALARY HR DEPT</t>
  </si>
  <si>
    <t>TOTYAL SALARY IT DEPT</t>
  </si>
  <si>
    <t>AVERAGE SALARY</t>
  </si>
  <si>
    <t>COUNT</t>
  </si>
  <si>
    <t>Day 1</t>
  </si>
  <si>
    <t>Day 2</t>
  </si>
  <si>
    <t>Day 3</t>
  </si>
  <si>
    <t>Day 4</t>
  </si>
  <si>
    <t>Day 5</t>
  </si>
  <si>
    <t>P</t>
  </si>
  <si>
    <t>A</t>
  </si>
  <si>
    <r>
      <rPr>
        <b/>
        <u/>
        <sz val="11"/>
        <color rgb="FFFF0000"/>
        <rFont val="Calibri"/>
        <family val="2"/>
        <scheme val="minor"/>
      </rPr>
      <t>Task 6:</t>
    </r>
    <r>
      <rPr>
        <b/>
        <sz val="11"/>
        <color rgb="FFFF0000"/>
        <rFont val="Calibri"/>
        <family val="2"/>
        <scheme val="minor"/>
      </rPr>
      <t xml:space="preserve">
Count Present days
Count Absent days
</t>
    </r>
  </si>
  <si>
    <t>Present Days:</t>
  </si>
  <si>
    <t>Absent Days:</t>
  </si>
  <si>
    <t>Order ID</t>
  </si>
  <si>
    <t>O101</t>
  </si>
  <si>
    <t>O102</t>
  </si>
  <si>
    <t>O103</t>
  </si>
  <si>
    <t>O104</t>
  </si>
  <si>
    <t>O105</t>
  </si>
  <si>
    <t>O106</t>
  </si>
  <si>
    <t>Task 7:
Count sales above 10000
Count sales below 5000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</si>
  <si>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</si>
  <si>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</si>
  <si>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</si>
  <si>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</si>
  <si>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</si>
  <si>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</si>
  <si>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</si>
  <si>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</si>
  <si>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</si>
  <si>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</si>
  <si>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</si>
  <si>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</si>
  <si>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</si>
  <si>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Sales Above 10000:</t>
  </si>
  <si>
    <t>Sales below 5000:</t>
  </si>
  <si>
    <t>Product</t>
  </si>
  <si>
    <t>Mobile</t>
  </si>
  <si>
    <t>Headphones</t>
  </si>
  <si>
    <t>Laptop</t>
  </si>
  <si>
    <t>Keyboard</t>
  </si>
  <si>
    <t>Tablet</t>
  </si>
  <si>
    <t>Task 8:
Highlight sales &gt; 20000 (Green)
Highlight sales &lt; 5000 (Red)</t>
  </si>
  <si>
    <t>Marks</t>
  </si>
  <si>
    <t>Bharti</t>
  </si>
  <si>
    <t>Chetan</t>
  </si>
  <si>
    <t>Deepa</t>
  </si>
  <si>
    <t>Farhan</t>
  </si>
  <si>
    <r>
      <rPr>
        <b/>
        <u/>
        <sz val="11"/>
        <color rgb="FFFF0000"/>
        <rFont val="Calibri"/>
        <family val="2"/>
        <scheme val="minor"/>
      </rPr>
      <t>Task 9:
Marks ≥ 75 → Green
Marks &lt; 40 → Red</t>
    </r>
    <r>
      <rPr>
        <sz val="11"/>
        <color theme="1"/>
        <rFont val="Calibri"/>
        <family val="2"/>
        <scheme val="minor"/>
      </rPr>
      <t xml:space="preserve">
</t>
    </r>
  </si>
  <si>
    <t>Rohit</t>
  </si>
  <si>
    <t>Simran</t>
  </si>
  <si>
    <t>Vijay</t>
  </si>
  <si>
    <t>Nisha</t>
  </si>
  <si>
    <t>Mohan</t>
  </si>
  <si>
    <t>Task 10:
≥ 50000 → Dark Green
30000–49999 → Yellow
&lt; 30000 → Light Red</t>
  </si>
  <si>
    <r>
      <rPr>
        <b/>
        <u/>
        <sz val="11"/>
        <color rgb="FFFF0000"/>
        <rFont val="Calibri"/>
        <family val="2"/>
        <scheme val="minor"/>
      </rPr>
      <t>Task 2</t>
    </r>
    <r>
      <rPr>
        <sz val="11"/>
        <color rgb="FFFF0000"/>
        <rFont val="Calibri"/>
        <family val="2"/>
        <scheme val="minor"/>
      </rPr>
      <t xml:space="preserve">
Add title Monthly Sales Report
Merge &amp; center title
Wrap text for product names
Currency format for sales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</si>
</sst>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800]dddd\,\ mmmm\ dd\,\ yyyy"/>
    <numFmt numFmtId="166" formatCode="&quot;₹&quot;\ #,##0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1F2328"/>
      <name val="Segoe UI"/>
      <family val="2"/>
    </font>
    <font>
      <sz val="16.5"/>
      <color rgb="FF1F2328"/>
      <name val="Segoe UI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1F2328"/>
      <name val="Segoe UI"/>
      <family val="2"/>
    </font>
    <font>
      <sz val="12"/>
      <color rgb="FFFF0000"/>
      <name val="Segoe UI"/>
      <family val="2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Script MT Bold"/>
      <family val="4"/>
    </font>
    <font>
      <i/>
      <u/>
      <sz val="12"/>
      <color rgb="FFFF0000"/>
      <name val="Script MT Bold"/>
      <family val="4"/>
    </font>
    <font>
      <sz val="12"/>
      <color rgb="FFFF0000"/>
      <name val="Segoe UI"/>
      <family val="2"/>
    </font>
    <font>
      <sz val="12"/>
      <color theme="5"/>
      <name val="Segoe UI"/>
      <family val="2"/>
    </font>
    <font>
      <b/>
      <sz val="12"/>
      <color rgb="FF1F2328"/>
      <name val="Segoe UI"/>
      <family val="2"/>
    </font>
    <font>
      <b/>
      <sz val="9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rgb="FFFFC000"/>
      <name val="Calibri"/>
      <family val="2"/>
      <scheme val="minor"/>
    </font>
    <font>
      <b/>
      <sz val="11"/>
      <color rgb="FF00B0F0"/>
      <name val="Segoe UI"/>
      <family val="2"/>
    </font>
    <font>
      <b/>
      <sz val="11"/>
      <color rgb="FF92D05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 applyAlignment="1">
      <alignment vertical="center" wrapText="1"/>
    </xf>
    <xf numFmtId="0" fontId="0" fillId="2" borderId="2" xfId="0" applyFill="1" applyBorder="1" applyAlignment="1">
      <alignment horizontal="left" vertical="center" wrapText="1" indent="1"/>
    </xf>
    <xf numFmtId="164" fontId="0" fillId="2" borderId="2" xfId="0" applyNumberFormat="1" applyFill="1" applyBorder="1" applyAlignment="1">
      <alignment horizontal="left" vertical="center" wrapText="1" indent="1"/>
    </xf>
    <xf numFmtId="0" fontId="0" fillId="3" borderId="2" xfId="0" applyFill="1" applyBorder="1" applyAlignment="1">
      <alignment horizontal="left" vertical="center" wrapText="1" indent="1"/>
    </xf>
    <xf numFmtId="164" fontId="0" fillId="3" borderId="2" xfId="0" applyNumberFormat="1" applyFill="1" applyBorder="1" applyAlignment="1">
      <alignment horizontal="left" vertical="center" wrapText="1" indent="1"/>
    </xf>
    <xf numFmtId="164" fontId="0" fillId="0" borderId="2" xfId="0" applyNumberFormat="1" applyBorder="1"/>
    <xf numFmtId="0" fontId="6" fillId="0" borderId="0" xfId="0" applyFont="1"/>
    <xf numFmtId="165" fontId="6" fillId="2" borderId="2" xfId="0" applyNumberFormat="1" applyFont="1" applyFill="1" applyBorder="1" applyAlignment="1">
      <alignment horizontal="left" vertical="center" wrapText="1" indent="1"/>
    </xf>
    <xf numFmtId="165" fontId="6" fillId="3" borderId="2" xfId="0" applyNumberFormat="1" applyFont="1" applyFill="1" applyBorder="1" applyAlignment="1">
      <alignment horizontal="left" vertical="center" wrapText="1" indent="1"/>
    </xf>
    <xf numFmtId="0" fontId="0" fillId="0" borderId="2" xfId="0" applyBorder="1" applyAlignment="1">
      <alignment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10" fontId="9" fillId="2" borderId="1" xfId="0" applyNumberFormat="1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4" fillId="0" borderId="0" xfId="0" applyFont="1"/>
    <xf numFmtId="166" fontId="11" fillId="0" borderId="0" xfId="0" applyNumberFormat="1" applyFont="1"/>
    <xf numFmtId="0" fontId="2" fillId="2" borderId="2" xfId="0" applyFont="1" applyFill="1" applyBorder="1" applyAlignment="1">
      <alignment horizontal="left" vertical="center" wrapText="1" indent="1"/>
    </xf>
    <xf numFmtId="14" fontId="2" fillId="2" borderId="2" xfId="0" applyNumberFormat="1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14" fontId="2" fillId="3" borderId="2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4" xfId="0" applyFont="1" applyFill="1" applyBorder="1" applyAlignment="1">
      <alignment horizontal="left" vertical="center" wrapText="1" indent="1"/>
    </xf>
    <xf numFmtId="14" fontId="2" fillId="2" borderId="4" xfId="0" applyNumberFormat="1" applyFont="1" applyFill="1" applyBorder="1" applyAlignment="1">
      <alignment horizontal="left" vertical="center" wrapText="1" indent="1"/>
    </xf>
    <xf numFmtId="0" fontId="10" fillId="0" borderId="4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3" borderId="5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0" borderId="0" xfId="0" applyNumberFormat="1" applyFont="1"/>
    <xf numFmtId="0" fontId="4" fillId="0" borderId="0" xfId="0" applyFont="1" applyFill="1" applyBorder="1" applyAlignment="1">
      <alignment horizontal="center"/>
    </xf>
    <xf numFmtId="0" fontId="0" fillId="0" borderId="2" xfId="0" applyBorder="1"/>
    <xf numFmtId="0" fontId="12" fillId="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164" fontId="18" fillId="2" borderId="2" xfId="0" applyNumberFormat="1" applyFont="1" applyFill="1" applyBorder="1" applyAlignment="1">
      <alignment horizontal="left" vertical="center" wrapText="1" indent="1"/>
    </xf>
    <xf numFmtId="164" fontId="18" fillId="3" borderId="2" xfId="0" applyNumberFormat="1" applyFont="1" applyFill="1" applyBorder="1" applyAlignment="1">
      <alignment horizontal="left" vertical="center" wrapText="1" indent="1"/>
    </xf>
    <xf numFmtId="164" fontId="18" fillId="0" borderId="2" xfId="0" applyNumberFormat="1" applyFont="1" applyBorder="1"/>
    <xf numFmtId="0" fontId="19" fillId="2" borderId="2" xfId="0" applyFont="1" applyFill="1" applyBorder="1" applyAlignment="1">
      <alignment horizontal="left" vertical="center" wrapText="1" indent="1"/>
    </xf>
    <xf numFmtId="0" fontId="19" fillId="3" borderId="2" xfId="0" applyFont="1" applyFill="1" applyBorder="1" applyAlignment="1">
      <alignment horizontal="left" vertical="center" wrapText="1" indent="1"/>
    </xf>
    <xf numFmtId="0" fontId="20" fillId="2" borderId="2" xfId="0" applyFont="1" applyFill="1" applyBorder="1" applyAlignment="1">
      <alignment horizontal="left" vertical="center" wrapText="1" indent="1"/>
    </xf>
    <xf numFmtId="0" fontId="20" fillId="3" borderId="2" xfId="0" applyFont="1" applyFill="1" applyBorder="1" applyAlignment="1">
      <alignment horizontal="left" vertical="center" wrapText="1" indent="1"/>
    </xf>
    <xf numFmtId="0" fontId="21" fillId="2" borderId="2" xfId="0" applyFont="1" applyFill="1" applyBorder="1" applyAlignment="1">
      <alignment horizontal="left" vertical="center" wrapText="1" indent="1"/>
    </xf>
    <xf numFmtId="0" fontId="21" fillId="3" borderId="2" xfId="0" applyFont="1" applyFill="1" applyBorder="1" applyAlignment="1">
      <alignment horizontal="left" vertical="center" wrapText="1" indent="1"/>
    </xf>
    <xf numFmtId="0" fontId="19" fillId="0" borderId="2" xfId="0" applyFont="1" applyBorder="1"/>
    <xf numFmtId="0" fontId="1" fillId="0" borderId="0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2" fillId="2" borderId="1" xfId="0" applyFont="1" applyFill="1" applyBorder="1" applyAlignment="1">
      <alignment horizontal="left" vertical="center" wrapText="1" indent="1"/>
    </xf>
    <xf numFmtId="0" fontId="22" fillId="3" borderId="1" xfId="0" applyFont="1" applyFill="1" applyBorder="1" applyAlignment="1">
      <alignment horizontal="left" vertical="center" wrapText="1" indent="1"/>
    </xf>
    <xf numFmtId="0" fontId="23" fillId="2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1">
    <cellStyle name="Normal" xfId="0" builtinId="0"/>
  </cellStyles>
  <dxfs count="18">
    <dxf>
      <font>
        <color theme="2"/>
      </font>
      <fill>
        <patternFill>
          <bgColor theme="9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/>
      </font>
      <fill>
        <patternFill>
          <bgColor theme="9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2"/>
      </font>
      <fill>
        <patternFill>
          <bgColor theme="9" tint="-0.499984740745262"/>
        </patternFill>
      </fill>
    </dxf>
    <dxf>
      <font>
        <color theme="2"/>
      </font>
      <fill>
        <patternFill>
          <bgColor theme="9" tint="-0.499984740745262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2856-73EA-479B-9104-C04942D41228}">
  <dimension ref="A1:X22"/>
  <sheetViews>
    <sheetView tabSelected="1" workbookViewId="0">
      <selection activeCell="S8" sqref="S8"/>
    </sheetView>
  </sheetViews>
  <sheetFormatPr defaultRowHeight="15" x14ac:dyDescent="0.25"/>
  <cols>
    <col min="1" max="1" width="13.28515625" customWidth="1"/>
    <col min="2" max="2" width="8.7109375" bestFit="1" customWidth="1"/>
    <col min="3" max="3" width="17.7109375" customWidth="1"/>
    <col min="4" max="4" width="10.42578125" bestFit="1" customWidth="1"/>
    <col min="5" max="5" width="16.85546875" bestFit="1" customWidth="1"/>
  </cols>
  <sheetData>
    <row r="1" spans="1:16" ht="24.75" x14ac:dyDescent="0.25">
      <c r="A1" s="1"/>
    </row>
    <row r="2" spans="1:16" x14ac:dyDescent="0.25">
      <c r="C2" s="7"/>
      <c r="D2" s="7"/>
      <c r="E2" s="7"/>
    </row>
    <row r="3" spans="1:16" ht="56.25" x14ac:dyDescent="0.25">
      <c r="A3" s="42" t="s">
        <v>0</v>
      </c>
      <c r="B3" s="42" t="s">
        <v>1</v>
      </c>
      <c r="C3" s="42" t="s">
        <v>2</v>
      </c>
      <c r="D3" s="42" t="s">
        <v>3</v>
      </c>
      <c r="E3" s="42" t="s">
        <v>4</v>
      </c>
    </row>
    <row r="4" spans="1:16" ht="24.75" thickBot="1" x14ac:dyDescent="0.3">
      <c r="A4" s="56" t="s">
        <v>5</v>
      </c>
      <c r="B4" s="58" t="s">
        <v>6</v>
      </c>
      <c r="C4" s="54" t="s">
        <v>7</v>
      </c>
      <c r="D4" s="51">
        <v>32000</v>
      </c>
      <c r="E4" s="8">
        <v>44573</v>
      </c>
    </row>
    <row r="5" spans="1:16" ht="24" x14ac:dyDescent="0.25">
      <c r="A5" s="57" t="s">
        <v>8</v>
      </c>
      <c r="B5" s="59" t="s">
        <v>9</v>
      </c>
      <c r="C5" s="55" t="s">
        <v>10</v>
      </c>
      <c r="D5" s="52">
        <v>45000</v>
      </c>
      <c r="E5" s="9">
        <v>44260</v>
      </c>
      <c r="J5" s="65" t="s">
        <v>47</v>
      </c>
      <c r="K5" s="66"/>
      <c r="L5" s="66"/>
      <c r="M5" s="66"/>
      <c r="N5" s="67"/>
    </row>
    <row r="6" spans="1:16" ht="24" x14ac:dyDescent="0.25">
      <c r="A6" s="56" t="s">
        <v>11</v>
      </c>
      <c r="B6" s="58" t="s">
        <v>12</v>
      </c>
      <c r="C6" s="54" t="s">
        <v>13</v>
      </c>
      <c r="D6" s="51">
        <v>38000</v>
      </c>
      <c r="E6" s="8">
        <v>44030</v>
      </c>
      <c r="J6" s="68"/>
      <c r="K6" s="61"/>
      <c r="L6" s="61"/>
      <c r="M6" s="61"/>
      <c r="N6" s="69"/>
    </row>
    <row r="7" spans="1:16" ht="24" x14ac:dyDescent="0.25">
      <c r="A7" s="57" t="s">
        <v>14</v>
      </c>
      <c r="B7" s="59" t="s">
        <v>15</v>
      </c>
      <c r="C7" s="55" t="s">
        <v>10</v>
      </c>
      <c r="D7" s="52">
        <v>52000</v>
      </c>
      <c r="E7" s="9">
        <v>43779</v>
      </c>
      <c r="J7" s="68"/>
      <c r="K7" s="61"/>
      <c r="L7" s="61"/>
      <c r="M7" s="61"/>
      <c r="N7" s="69"/>
    </row>
    <row r="8" spans="1:16" ht="24.75" thickBot="1" x14ac:dyDescent="0.3">
      <c r="A8" s="56" t="s">
        <v>16</v>
      </c>
      <c r="B8" s="58" t="s">
        <v>17</v>
      </c>
      <c r="C8" s="54" t="s">
        <v>18</v>
      </c>
      <c r="D8" s="51">
        <v>30000</v>
      </c>
      <c r="E8" s="8">
        <v>45102</v>
      </c>
      <c r="J8" s="70"/>
      <c r="K8" s="71"/>
      <c r="L8" s="71"/>
      <c r="M8" s="71"/>
      <c r="N8" s="72"/>
    </row>
    <row r="9" spans="1:16" ht="24" x14ac:dyDescent="0.25">
      <c r="A9" s="56" t="s">
        <v>19</v>
      </c>
      <c r="B9" s="59" t="s">
        <v>33</v>
      </c>
      <c r="C9" s="55" t="s">
        <v>7</v>
      </c>
      <c r="D9" s="53">
        <v>42683</v>
      </c>
      <c r="E9" s="9">
        <v>43853</v>
      </c>
    </row>
    <row r="10" spans="1:16" ht="24" x14ac:dyDescent="0.25">
      <c r="A10" s="57" t="s">
        <v>20</v>
      </c>
      <c r="B10" s="58" t="s">
        <v>34</v>
      </c>
      <c r="C10" s="54" t="s">
        <v>10</v>
      </c>
      <c r="D10" s="53">
        <v>26323</v>
      </c>
      <c r="E10" s="8">
        <v>44573</v>
      </c>
    </row>
    <row r="11" spans="1:16" ht="24" x14ac:dyDescent="0.25">
      <c r="A11" s="56" t="s">
        <v>21</v>
      </c>
      <c r="B11" s="59" t="s">
        <v>35</v>
      </c>
      <c r="C11" s="55" t="s">
        <v>18</v>
      </c>
      <c r="D11" s="53">
        <v>31100</v>
      </c>
      <c r="E11" s="9">
        <v>44222</v>
      </c>
      <c r="P11" s="64"/>
    </row>
    <row r="12" spans="1:16" ht="24.75" thickBot="1" x14ac:dyDescent="0.3">
      <c r="A12" s="57" t="s">
        <v>22</v>
      </c>
      <c r="B12" s="58" t="s">
        <v>36</v>
      </c>
      <c r="C12" s="60" t="s">
        <v>13</v>
      </c>
      <c r="D12" s="53">
        <v>43121</v>
      </c>
      <c r="E12" s="9">
        <v>44223</v>
      </c>
      <c r="N12" s="33"/>
    </row>
    <row r="13" spans="1:16" ht="24.75" thickBot="1" x14ac:dyDescent="0.3">
      <c r="A13" s="56" t="s">
        <v>23</v>
      </c>
      <c r="B13" s="59" t="s">
        <v>37</v>
      </c>
      <c r="C13" s="60" t="s">
        <v>18</v>
      </c>
      <c r="D13" s="53">
        <v>28361</v>
      </c>
      <c r="E13" s="9">
        <v>43831</v>
      </c>
      <c r="L13" s="62"/>
      <c r="O13" s="33"/>
    </row>
    <row r="14" spans="1:16" ht="24" x14ac:dyDescent="0.25">
      <c r="A14" s="56" t="s">
        <v>24</v>
      </c>
      <c r="B14" s="58" t="s">
        <v>38</v>
      </c>
      <c r="C14" s="60" t="s">
        <v>7</v>
      </c>
      <c r="D14" s="53">
        <v>51772</v>
      </c>
      <c r="E14" s="9">
        <v>43789</v>
      </c>
    </row>
    <row r="15" spans="1:16" ht="24" x14ac:dyDescent="0.25">
      <c r="A15" s="57" t="s">
        <v>25</v>
      </c>
      <c r="B15" s="59" t="s">
        <v>39</v>
      </c>
      <c r="C15" s="60" t="s">
        <v>7</v>
      </c>
      <c r="D15" s="53">
        <v>43971</v>
      </c>
      <c r="E15" s="9">
        <v>44280</v>
      </c>
      <c r="O15" s="33"/>
    </row>
    <row r="16" spans="1:16" x14ac:dyDescent="0.25">
      <c r="A16" s="56" t="s">
        <v>26</v>
      </c>
      <c r="B16" s="58" t="s">
        <v>40</v>
      </c>
      <c r="C16" s="60" t="s">
        <v>10</v>
      </c>
      <c r="D16" s="53">
        <v>54169</v>
      </c>
      <c r="E16" s="8">
        <v>44362</v>
      </c>
    </row>
    <row r="17" spans="1:24" ht="24" x14ac:dyDescent="0.25">
      <c r="A17" s="57" t="s">
        <v>27</v>
      </c>
      <c r="B17" s="59" t="s">
        <v>41</v>
      </c>
      <c r="C17" s="60" t="s">
        <v>10</v>
      </c>
      <c r="D17" s="53">
        <v>35185</v>
      </c>
      <c r="E17" s="8">
        <v>43908</v>
      </c>
      <c r="X17" s="63"/>
    </row>
    <row r="18" spans="1:24" ht="24" x14ac:dyDescent="0.25">
      <c r="A18" s="56" t="s">
        <v>28</v>
      </c>
      <c r="B18" s="58" t="s">
        <v>42</v>
      </c>
      <c r="C18" s="60" t="s">
        <v>13</v>
      </c>
      <c r="D18" s="53">
        <v>35763</v>
      </c>
      <c r="E18" s="8">
        <v>44103</v>
      </c>
    </row>
    <row r="19" spans="1:24" ht="24" x14ac:dyDescent="0.25">
      <c r="A19" s="56" t="s">
        <v>29</v>
      </c>
      <c r="B19" s="59" t="s">
        <v>43</v>
      </c>
      <c r="C19" s="60" t="s">
        <v>7</v>
      </c>
      <c r="D19" s="53">
        <v>29295</v>
      </c>
      <c r="E19" s="8">
        <v>44114</v>
      </c>
    </row>
    <row r="20" spans="1:24" ht="24" x14ac:dyDescent="0.25">
      <c r="A20" s="57" t="s">
        <v>30</v>
      </c>
      <c r="B20" s="58" t="s">
        <v>44</v>
      </c>
      <c r="C20" s="60" t="s">
        <v>7</v>
      </c>
      <c r="D20" s="53">
        <v>27794</v>
      </c>
      <c r="E20" s="8">
        <v>43993</v>
      </c>
    </row>
    <row r="21" spans="1:24" ht="24" x14ac:dyDescent="0.25">
      <c r="A21" s="56" t="s">
        <v>31</v>
      </c>
      <c r="B21" s="59" t="s">
        <v>45</v>
      </c>
      <c r="C21" s="60" t="s">
        <v>10</v>
      </c>
      <c r="D21" s="53">
        <v>40955</v>
      </c>
      <c r="E21" s="8">
        <v>44167</v>
      </c>
    </row>
    <row r="22" spans="1:24" ht="24" x14ac:dyDescent="0.25">
      <c r="A22" s="57" t="s">
        <v>32</v>
      </c>
      <c r="B22" s="58" t="s">
        <v>46</v>
      </c>
      <c r="C22" s="60" t="s">
        <v>10</v>
      </c>
      <c r="D22" s="53">
        <v>37956</v>
      </c>
      <c r="E22" s="8">
        <v>44097</v>
      </c>
    </row>
  </sheetData>
  <mergeCells count="1">
    <mergeCell ref="J5:N8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7C68-991C-4C90-8547-7883EC99E71E}">
  <dimension ref="A1:T23"/>
  <sheetViews>
    <sheetView workbookViewId="0">
      <selection activeCell="P19" sqref="P19"/>
    </sheetView>
  </sheetViews>
  <sheetFormatPr defaultRowHeight="15" x14ac:dyDescent="0.25"/>
  <cols>
    <col min="1" max="1" width="26.42578125" bestFit="1" customWidth="1"/>
    <col min="3" max="3" width="12" bestFit="1" customWidth="1"/>
  </cols>
  <sheetData>
    <row r="1" spans="1:20" x14ac:dyDescent="0.25">
      <c r="A1" s="44" t="s">
        <v>67</v>
      </c>
      <c r="B1" s="36"/>
      <c r="C1" s="36"/>
      <c r="D1" s="36"/>
    </row>
    <row r="3" spans="1:20" ht="30" x14ac:dyDescent="0.25">
      <c r="A3" s="43" t="s">
        <v>48</v>
      </c>
      <c r="B3" s="43" t="s">
        <v>49</v>
      </c>
      <c r="C3" s="43" t="s">
        <v>50</v>
      </c>
      <c r="D3" s="43" t="s">
        <v>51</v>
      </c>
    </row>
    <row r="4" spans="1:20" ht="30" x14ac:dyDescent="0.25">
      <c r="A4" s="10" t="s">
        <v>52</v>
      </c>
      <c r="B4" s="2" t="s">
        <v>53</v>
      </c>
      <c r="C4" s="3">
        <v>45000</v>
      </c>
      <c r="D4" s="2" t="s">
        <v>54</v>
      </c>
    </row>
    <row r="5" spans="1:20" ht="15.75" thickBot="1" x14ac:dyDescent="0.3">
      <c r="A5" s="10" t="s">
        <v>55</v>
      </c>
      <c r="B5" s="4" t="s">
        <v>56</v>
      </c>
      <c r="C5" s="5">
        <v>1200</v>
      </c>
      <c r="D5" s="4" t="s">
        <v>57</v>
      </c>
    </row>
    <row r="6" spans="1:20" x14ac:dyDescent="0.25">
      <c r="A6" s="10" t="s">
        <v>58</v>
      </c>
      <c r="B6" s="2" t="s">
        <v>59</v>
      </c>
      <c r="C6" s="3">
        <v>18000</v>
      </c>
      <c r="D6" s="2" t="s">
        <v>60</v>
      </c>
      <c r="P6" s="77" t="s">
        <v>173</v>
      </c>
      <c r="Q6" s="78"/>
      <c r="R6" s="78"/>
      <c r="S6" s="78"/>
      <c r="T6" s="79"/>
    </row>
    <row r="7" spans="1:20" x14ac:dyDescent="0.25">
      <c r="A7" s="10" t="s">
        <v>61</v>
      </c>
      <c r="B7" s="4" t="s">
        <v>62</v>
      </c>
      <c r="C7" s="5">
        <v>62000</v>
      </c>
      <c r="D7" s="4" t="s">
        <v>63</v>
      </c>
      <c r="P7" s="80"/>
      <c r="Q7" s="73"/>
      <c r="R7" s="73"/>
      <c r="S7" s="73"/>
      <c r="T7" s="81"/>
    </row>
    <row r="8" spans="1:20" ht="30" x14ac:dyDescent="0.25">
      <c r="A8" s="10" t="s">
        <v>64</v>
      </c>
      <c r="B8" s="2" t="s">
        <v>53</v>
      </c>
      <c r="C8" s="6">
        <f ca="1">RANDBETWEEN(20000,65000)</f>
        <v>30973</v>
      </c>
      <c r="D8" s="2" t="s">
        <v>54</v>
      </c>
      <c r="P8" s="80"/>
      <c r="Q8" s="73"/>
      <c r="R8" s="73"/>
      <c r="S8" s="73"/>
      <c r="T8" s="81"/>
    </row>
    <row r="9" spans="1:20" x14ac:dyDescent="0.25">
      <c r="A9" s="10" t="s">
        <v>55</v>
      </c>
      <c r="B9" s="4" t="s">
        <v>56</v>
      </c>
      <c r="C9" s="6">
        <f t="shared" ref="C9:C23" ca="1" si="0">RANDBETWEEN(20000,65000)</f>
        <v>35917</v>
      </c>
      <c r="D9" s="4" t="s">
        <v>57</v>
      </c>
      <c r="P9" s="80"/>
      <c r="Q9" s="73"/>
      <c r="R9" s="73"/>
      <c r="S9" s="73"/>
      <c r="T9" s="81"/>
    </row>
    <row r="10" spans="1:20" x14ac:dyDescent="0.25">
      <c r="A10" s="10" t="s">
        <v>58</v>
      </c>
      <c r="B10" s="2" t="s">
        <v>59</v>
      </c>
      <c r="C10" s="6">
        <f t="shared" ca="1" si="0"/>
        <v>55423</v>
      </c>
      <c r="D10" s="2" t="s">
        <v>60</v>
      </c>
      <c r="P10" s="80"/>
      <c r="Q10" s="73"/>
      <c r="R10" s="73"/>
      <c r="S10" s="73"/>
      <c r="T10" s="81"/>
    </row>
    <row r="11" spans="1:20" ht="30" x14ac:dyDescent="0.25">
      <c r="A11" s="10" t="s">
        <v>61</v>
      </c>
      <c r="B11" s="4" t="s">
        <v>62</v>
      </c>
      <c r="C11" s="6">
        <f t="shared" ca="1" si="0"/>
        <v>54209</v>
      </c>
      <c r="D11" s="2" t="s">
        <v>54</v>
      </c>
      <c r="P11" s="80"/>
      <c r="Q11" s="73"/>
      <c r="R11" s="73"/>
      <c r="S11" s="73"/>
      <c r="T11" s="81"/>
    </row>
    <row r="12" spans="1:20" x14ac:dyDescent="0.25">
      <c r="A12" s="10" t="s">
        <v>65</v>
      </c>
      <c r="B12" s="2" t="s">
        <v>53</v>
      </c>
      <c r="C12" s="6">
        <f t="shared" ca="1" si="0"/>
        <v>54688</v>
      </c>
      <c r="D12" s="4" t="s">
        <v>57</v>
      </c>
      <c r="P12" s="80"/>
      <c r="Q12" s="73"/>
      <c r="R12" s="73"/>
      <c r="S12" s="73"/>
      <c r="T12" s="81"/>
    </row>
    <row r="13" spans="1:20" ht="15.75" thickBot="1" x14ac:dyDescent="0.3">
      <c r="A13" s="10" t="s">
        <v>55</v>
      </c>
      <c r="B13" s="4" t="s">
        <v>56</v>
      </c>
      <c r="C13" s="6">
        <f t="shared" ca="1" si="0"/>
        <v>63097</v>
      </c>
      <c r="D13" s="2" t="s">
        <v>60</v>
      </c>
      <c r="P13" s="82"/>
      <c r="Q13" s="83"/>
      <c r="R13" s="83"/>
      <c r="S13" s="83"/>
      <c r="T13" s="84"/>
    </row>
    <row r="14" spans="1:20" x14ac:dyDescent="0.25">
      <c r="A14" s="10" t="s">
        <v>58</v>
      </c>
      <c r="B14" s="2" t="s">
        <v>59</v>
      </c>
      <c r="C14" s="6">
        <f t="shared" ca="1" si="0"/>
        <v>47040</v>
      </c>
      <c r="D14" s="4" t="s">
        <v>63</v>
      </c>
    </row>
    <row r="15" spans="1:20" ht="30" x14ac:dyDescent="0.25">
      <c r="A15" s="10" t="s">
        <v>61</v>
      </c>
      <c r="B15" s="4" t="s">
        <v>62</v>
      </c>
      <c r="C15" s="6">
        <f t="shared" ca="1" si="0"/>
        <v>24717</v>
      </c>
      <c r="D15" s="2" t="s">
        <v>54</v>
      </c>
    </row>
    <row r="16" spans="1:20" x14ac:dyDescent="0.25">
      <c r="A16" s="10" t="s">
        <v>66</v>
      </c>
      <c r="B16" s="2" t="s">
        <v>53</v>
      </c>
      <c r="C16" s="6">
        <f t="shared" ca="1" si="0"/>
        <v>58113</v>
      </c>
      <c r="D16" s="4" t="s">
        <v>57</v>
      </c>
    </row>
    <row r="17" spans="1:4" x14ac:dyDescent="0.25">
      <c r="A17" s="10" t="s">
        <v>55</v>
      </c>
      <c r="B17" s="4" t="s">
        <v>56</v>
      </c>
      <c r="C17" s="6">
        <f t="shared" ca="1" si="0"/>
        <v>61566</v>
      </c>
      <c r="D17" s="2" t="s">
        <v>60</v>
      </c>
    </row>
    <row r="18" spans="1:4" ht="30" x14ac:dyDescent="0.25">
      <c r="A18" s="10" t="s">
        <v>64</v>
      </c>
      <c r="B18" s="2" t="s">
        <v>59</v>
      </c>
      <c r="C18" s="6">
        <f t="shared" ca="1" si="0"/>
        <v>39424</v>
      </c>
      <c r="D18" s="2" t="s">
        <v>54</v>
      </c>
    </row>
    <row r="19" spans="1:4" x14ac:dyDescent="0.25">
      <c r="A19" s="10" t="s">
        <v>55</v>
      </c>
      <c r="B19" s="4" t="s">
        <v>62</v>
      </c>
      <c r="C19" s="6">
        <f t="shared" ca="1" si="0"/>
        <v>61530</v>
      </c>
      <c r="D19" s="4" t="s">
        <v>57</v>
      </c>
    </row>
    <row r="20" spans="1:4" x14ac:dyDescent="0.25">
      <c r="A20" s="10" t="s">
        <v>58</v>
      </c>
      <c r="B20" s="2" t="s">
        <v>53</v>
      </c>
      <c r="C20" s="6">
        <f t="shared" ca="1" si="0"/>
        <v>49219</v>
      </c>
      <c r="D20" s="2" t="s">
        <v>60</v>
      </c>
    </row>
    <row r="21" spans="1:4" x14ac:dyDescent="0.25">
      <c r="A21" s="10" t="s">
        <v>61</v>
      </c>
      <c r="B21" s="4" t="s">
        <v>56</v>
      </c>
      <c r="C21" s="6">
        <f t="shared" ca="1" si="0"/>
        <v>32720</v>
      </c>
      <c r="D21" s="4" t="s">
        <v>63</v>
      </c>
    </row>
    <row r="22" spans="1:4" ht="30" x14ac:dyDescent="0.25">
      <c r="A22" s="10" t="s">
        <v>65</v>
      </c>
      <c r="B22" s="2" t="s">
        <v>59</v>
      </c>
      <c r="C22" s="6">
        <f t="shared" ca="1" si="0"/>
        <v>37799</v>
      </c>
      <c r="D22" s="2" t="s">
        <v>54</v>
      </c>
    </row>
    <row r="23" spans="1:4" x14ac:dyDescent="0.25">
      <c r="A23" s="10" t="s">
        <v>55</v>
      </c>
      <c r="B23" s="4" t="s">
        <v>62</v>
      </c>
      <c r="C23" s="6">
        <f t="shared" ca="1" si="0"/>
        <v>49486</v>
      </c>
      <c r="D23" s="4" t="s">
        <v>57</v>
      </c>
    </row>
  </sheetData>
  <mergeCells count="2">
    <mergeCell ref="P6:T13"/>
    <mergeCell ref="A1:D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3337-D177-438F-8918-1A8293F6C620}">
  <dimension ref="A1:W21"/>
  <sheetViews>
    <sheetView workbookViewId="0">
      <selection activeCell="S3" sqref="S3:W9"/>
    </sheetView>
  </sheetViews>
  <sheetFormatPr defaultRowHeight="15" x14ac:dyDescent="0.25"/>
  <cols>
    <col min="2" max="2" width="11.42578125" customWidth="1"/>
    <col min="7" max="7" width="14.85546875" customWidth="1"/>
  </cols>
  <sheetData>
    <row r="1" spans="1:23" ht="30.75" thickBot="1" x14ac:dyDescent="0.3">
      <c r="A1" s="45" t="s">
        <v>68</v>
      </c>
      <c r="B1" s="45" t="s">
        <v>69</v>
      </c>
      <c r="C1" s="45" t="s">
        <v>70</v>
      </c>
      <c r="D1" s="45" t="s">
        <v>71</v>
      </c>
      <c r="E1" s="45" t="s">
        <v>72</v>
      </c>
      <c r="F1" s="45" t="s">
        <v>80</v>
      </c>
      <c r="G1" s="46" t="s">
        <v>73</v>
      </c>
    </row>
    <row r="2" spans="1:23" ht="18" thickBot="1" x14ac:dyDescent="0.3">
      <c r="A2" s="74">
        <v>1</v>
      </c>
      <c r="B2" s="13" t="s">
        <v>74</v>
      </c>
      <c r="C2" s="16">
        <v>78</v>
      </c>
      <c r="D2" s="16">
        <v>82</v>
      </c>
      <c r="E2" s="16">
        <v>74</v>
      </c>
      <c r="F2" s="76">
        <f>SUM(C2:E2)</f>
        <v>234</v>
      </c>
      <c r="G2" s="15">
        <f>F2/300</f>
        <v>0.78</v>
      </c>
    </row>
    <row r="3" spans="1:23" ht="18" thickBot="1" x14ac:dyDescent="0.3">
      <c r="A3" s="75">
        <v>2</v>
      </c>
      <c r="B3" s="14" t="s">
        <v>75</v>
      </c>
      <c r="C3" s="17">
        <v>65</v>
      </c>
      <c r="D3" s="17">
        <v>70</v>
      </c>
      <c r="E3" s="17">
        <v>68</v>
      </c>
      <c r="F3" s="76">
        <f t="shared" ref="F3:F21" si="0">SUM(C3:E3)</f>
        <v>203</v>
      </c>
      <c r="G3" s="15">
        <f t="shared" ref="G3:G21" si="1">F3/300</f>
        <v>0.67666666666666664</v>
      </c>
      <c r="S3" s="77" t="s">
        <v>79</v>
      </c>
      <c r="T3" s="78"/>
      <c r="U3" s="78"/>
      <c r="V3" s="78"/>
      <c r="W3" s="79"/>
    </row>
    <row r="4" spans="1:23" ht="18" thickBot="1" x14ac:dyDescent="0.3">
      <c r="A4" s="74">
        <v>3</v>
      </c>
      <c r="B4" s="13" t="s">
        <v>76</v>
      </c>
      <c r="C4" s="16">
        <v>90</v>
      </c>
      <c r="D4" s="16">
        <v>88</v>
      </c>
      <c r="E4" s="16">
        <v>92</v>
      </c>
      <c r="F4" s="76">
        <f t="shared" si="0"/>
        <v>270</v>
      </c>
      <c r="G4" s="15">
        <f t="shared" si="1"/>
        <v>0.9</v>
      </c>
      <c r="S4" s="80"/>
      <c r="T4" s="73"/>
      <c r="U4" s="73"/>
      <c r="V4" s="73"/>
      <c r="W4" s="81"/>
    </row>
    <row r="5" spans="1:23" ht="18" thickBot="1" x14ac:dyDescent="0.3">
      <c r="A5" s="75">
        <v>4</v>
      </c>
      <c r="B5" s="14" t="s">
        <v>77</v>
      </c>
      <c r="C5" s="17">
        <v>35</v>
      </c>
      <c r="D5" s="17">
        <v>40</v>
      </c>
      <c r="E5" s="17">
        <v>38</v>
      </c>
      <c r="F5" s="76">
        <f t="shared" si="0"/>
        <v>113</v>
      </c>
      <c r="G5" s="15">
        <f t="shared" si="1"/>
        <v>0.37666666666666665</v>
      </c>
      <c r="S5" s="80"/>
      <c r="T5" s="73"/>
      <c r="U5" s="73"/>
      <c r="V5" s="73"/>
      <c r="W5" s="81"/>
    </row>
    <row r="6" spans="1:23" ht="18" thickBot="1" x14ac:dyDescent="0.3">
      <c r="A6" s="74">
        <v>5</v>
      </c>
      <c r="B6" s="13" t="s">
        <v>78</v>
      </c>
      <c r="C6" s="16">
        <v>55</v>
      </c>
      <c r="D6" s="16">
        <v>60</v>
      </c>
      <c r="E6" s="16">
        <v>58</v>
      </c>
      <c r="F6" s="76">
        <f t="shared" si="0"/>
        <v>173</v>
      </c>
      <c r="G6" s="15">
        <f t="shared" si="1"/>
        <v>0.57666666666666666</v>
      </c>
      <c r="S6" s="80"/>
      <c r="T6" s="73"/>
      <c r="U6" s="73"/>
      <c r="V6" s="73"/>
      <c r="W6" s="81"/>
    </row>
    <row r="7" spans="1:23" ht="18" thickBot="1" x14ac:dyDescent="0.3">
      <c r="A7" s="74">
        <v>6</v>
      </c>
      <c r="B7" s="13" t="s">
        <v>74</v>
      </c>
      <c r="C7" s="18">
        <f ca="1">RANDBETWEEN(10,90)</f>
        <v>30</v>
      </c>
      <c r="D7" s="19">
        <v>67</v>
      </c>
      <c r="E7" s="18">
        <f ca="1">RANDBETWEEN(20,95)</f>
        <v>70</v>
      </c>
      <c r="F7" s="76">
        <f t="shared" ca="1" si="0"/>
        <v>167</v>
      </c>
      <c r="G7" s="15">
        <f t="shared" ca="1" si="1"/>
        <v>0.55666666666666664</v>
      </c>
      <c r="S7" s="80"/>
      <c r="T7" s="73"/>
      <c r="U7" s="73"/>
      <c r="V7" s="73"/>
      <c r="W7" s="81"/>
    </row>
    <row r="8" spans="1:23" ht="18" thickBot="1" x14ac:dyDescent="0.3">
      <c r="A8" s="75">
        <v>7</v>
      </c>
      <c r="B8" s="14" t="s">
        <v>75</v>
      </c>
      <c r="C8" s="18">
        <f t="shared" ref="C8:C20" ca="1" si="2">RANDBETWEEN(10,90)</f>
        <v>39</v>
      </c>
      <c r="D8" s="18">
        <f t="shared" ref="D8:E21" ca="1" si="3">RANDBETWEEN(20,95)</f>
        <v>32</v>
      </c>
      <c r="E8" s="18">
        <f t="shared" ca="1" si="3"/>
        <v>78</v>
      </c>
      <c r="F8" s="76">
        <f t="shared" ca="1" si="0"/>
        <v>149</v>
      </c>
      <c r="G8" s="15">
        <f t="shared" ca="1" si="1"/>
        <v>0.49666666666666665</v>
      </c>
      <c r="S8" s="80"/>
      <c r="T8" s="73"/>
      <c r="U8" s="73"/>
      <c r="V8" s="73"/>
      <c r="W8" s="81"/>
    </row>
    <row r="9" spans="1:23" ht="18" thickBot="1" x14ac:dyDescent="0.3">
      <c r="A9" s="74">
        <v>8</v>
      </c>
      <c r="B9" s="13" t="s">
        <v>76</v>
      </c>
      <c r="C9" s="18">
        <f t="shared" ca="1" si="2"/>
        <v>63</v>
      </c>
      <c r="D9" s="18">
        <f t="shared" ca="1" si="3"/>
        <v>77</v>
      </c>
      <c r="E9" s="18">
        <f t="shared" ca="1" si="3"/>
        <v>75</v>
      </c>
      <c r="F9" s="76">
        <f t="shared" ca="1" si="0"/>
        <v>215</v>
      </c>
      <c r="G9" s="15">
        <f t="shared" ca="1" si="1"/>
        <v>0.71666666666666667</v>
      </c>
      <c r="S9" s="82"/>
      <c r="T9" s="83"/>
      <c r="U9" s="83"/>
      <c r="V9" s="83"/>
      <c r="W9" s="84"/>
    </row>
    <row r="10" spans="1:23" ht="18" thickBot="1" x14ac:dyDescent="0.3">
      <c r="A10" s="75">
        <v>9</v>
      </c>
      <c r="B10" s="14" t="s">
        <v>77</v>
      </c>
      <c r="C10" s="18">
        <f t="shared" ca="1" si="2"/>
        <v>67</v>
      </c>
      <c r="D10" s="18">
        <f t="shared" ca="1" si="3"/>
        <v>90</v>
      </c>
      <c r="E10" s="18">
        <f t="shared" ca="1" si="3"/>
        <v>75</v>
      </c>
      <c r="F10" s="76">
        <f t="shared" ca="1" si="0"/>
        <v>232</v>
      </c>
      <c r="G10" s="15">
        <f t="shared" ca="1" si="1"/>
        <v>0.77333333333333332</v>
      </c>
    </row>
    <row r="11" spans="1:23" ht="18" thickBot="1" x14ac:dyDescent="0.3">
      <c r="A11" s="74">
        <v>10</v>
      </c>
      <c r="B11" s="13" t="s">
        <v>78</v>
      </c>
      <c r="C11" s="18">
        <f t="shared" ca="1" si="2"/>
        <v>40</v>
      </c>
      <c r="D11" s="18">
        <f t="shared" ca="1" si="3"/>
        <v>79</v>
      </c>
      <c r="E11" s="18">
        <f t="shared" ca="1" si="3"/>
        <v>58</v>
      </c>
      <c r="F11" s="76">
        <f t="shared" ca="1" si="0"/>
        <v>177</v>
      </c>
      <c r="G11" s="15">
        <f t="shared" ca="1" si="1"/>
        <v>0.59</v>
      </c>
    </row>
    <row r="12" spans="1:23" ht="18" thickBot="1" x14ac:dyDescent="0.3">
      <c r="A12" s="74">
        <v>11</v>
      </c>
      <c r="B12" s="13" t="s">
        <v>74</v>
      </c>
      <c r="C12" s="18">
        <f t="shared" ca="1" si="2"/>
        <v>27</v>
      </c>
      <c r="D12" s="18">
        <f t="shared" ca="1" si="3"/>
        <v>26</v>
      </c>
      <c r="E12" s="18">
        <f t="shared" ca="1" si="3"/>
        <v>93</v>
      </c>
      <c r="F12" s="76">
        <f t="shared" ca="1" si="0"/>
        <v>146</v>
      </c>
      <c r="G12" s="15">
        <f t="shared" ca="1" si="1"/>
        <v>0.48666666666666669</v>
      </c>
    </row>
    <row r="13" spans="1:23" ht="18" thickBot="1" x14ac:dyDescent="0.3">
      <c r="A13" s="75">
        <v>12</v>
      </c>
      <c r="B13" s="14" t="s">
        <v>75</v>
      </c>
      <c r="C13" s="18">
        <f t="shared" ca="1" si="2"/>
        <v>34</v>
      </c>
      <c r="D13" s="18">
        <f t="shared" ca="1" si="3"/>
        <v>77</v>
      </c>
      <c r="E13" s="18">
        <f t="shared" ca="1" si="3"/>
        <v>61</v>
      </c>
      <c r="F13" s="76">
        <f t="shared" ca="1" si="0"/>
        <v>172</v>
      </c>
      <c r="G13" s="15">
        <f t="shared" ca="1" si="1"/>
        <v>0.57333333333333336</v>
      </c>
    </row>
    <row r="14" spans="1:23" ht="18" thickBot="1" x14ac:dyDescent="0.3">
      <c r="A14" s="74">
        <v>13</v>
      </c>
      <c r="B14" s="13" t="s">
        <v>76</v>
      </c>
      <c r="C14" s="18">
        <f t="shared" ca="1" si="2"/>
        <v>84</v>
      </c>
      <c r="D14" s="18">
        <f t="shared" ca="1" si="3"/>
        <v>79</v>
      </c>
      <c r="E14" s="18">
        <f t="shared" ca="1" si="3"/>
        <v>28</v>
      </c>
      <c r="F14" s="76">
        <f t="shared" ca="1" si="0"/>
        <v>191</v>
      </c>
      <c r="G14" s="15">
        <f t="shared" ca="1" si="1"/>
        <v>0.63666666666666671</v>
      </c>
    </row>
    <row r="15" spans="1:23" ht="18" thickBot="1" x14ac:dyDescent="0.3">
      <c r="A15" s="75">
        <v>14</v>
      </c>
      <c r="B15" s="14" t="s">
        <v>77</v>
      </c>
      <c r="C15" s="18">
        <f t="shared" ca="1" si="2"/>
        <v>17</v>
      </c>
      <c r="D15" s="18">
        <f t="shared" ca="1" si="3"/>
        <v>76</v>
      </c>
      <c r="E15" s="18">
        <f t="shared" ca="1" si="3"/>
        <v>58</v>
      </c>
      <c r="F15" s="76">
        <f t="shared" ca="1" si="0"/>
        <v>151</v>
      </c>
      <c r="G15" s="15">
        <f t="shared" ca="1" si="1"/>
        <v>0.5033333333333333</v>
      </c>
    </row>
    <row r="16" spans="1:23" ht="18" thickBot="1" x14ac:dyDescent="0.3">
      <c r="A16" s="74">
        <v>15</v>
      </c>
      <c r="B16" s="13" t="s">
        <v>78</v>
      </c>
      <c r="C16" s="18">
        <f t="shared" ca="1" si="2"/>
        <v>23</v>
      </c>
      <c r="D16" s="18">
        <f t="shared" ca="1" si="3"/>
        <v>34</v>
      </c>
      <c r="E16" s="18">
        <f t="shared" ca="1" si="3"/>
        <v>68</v>
      </c>
      <c r="F16" s="76">
        <f t="shared" ca="1" si="0"/>
        <v>125</v>
      </c>
      <c r="G16" s="15">
        <f t="shared" ca="1" si="1"/>
        <v>0.41666666666666669</v>
      </c>
    </row>
    <row r="17" spans="1:7" ht="18" thickBot="1" x14ac:dyDescent="0.3">
      <c r="A17" s="74">
        <v>16</v>
      </c>
      <c r="B17" s="13" t="s">
        <v>74</v>
      </c>
      <c r="C17" s="18">
        <f t="shared" ca="1" si="2"/>
        <v>65</v>
      </c>
      <c r="D17" s="18">
        <f t="shared" ca="1" si="3"/>
        <v>37</v>
      </c>
      <c r="E17" s="18">
        <f t="shared" ca="1" si="3"/>
        <v>76</v>
      </c>
      <c r="F17" s="76">
        <f t="shared" ca="1" si="0"/>
        <v>178</v>
      </c>
      <c r="G17" s="15">
        <f t="shared" ca="1" si="1"/>
        <v>0.59333333333333338</v>
      </c>
    </row>
    <row r="18" spans="1:7" ht="18" thickBot="1" x14ac:dyDescent="0.3">
      <c r="A18" s="75">
        <v>17</v>
      </c>
      <c r="B18" s="14" t="s">
        <v>75</v>
      </c>
      <c r="C18" s="18">
        <f t="shared" ca="1" si="2"/>
        <v>84</v>
      </c>
      <c r="D18" s="18">
        <f t="shared" ca="1" si="3"/>
        <v>79</v>
      </c>
      <c r="E18" s="18">
        <f t="shared" ca="1" si="3"/>
        <v>58</v>
      </c>
      <c r="F18" s="76">
        <f t="shared" ca="1" si="0"/>
        <v>221</v>
      </c>
      <c r="G18" s="15">
        <f t="shared" ca="1" si="1"/>
        <v>0.73666666666666669</v>
      </c>
    </row>
    <row r="19" spans="1:7" ht="18" thickBot="1" x14ac:dyDescent="0.3">
      <c r="A19" s="74">
        <v>18</v>
      </c>
      <c r="B19" s="13" t="s">
        <v>76</v>
      </c>
      <c r="C19" s="18">
        <f t="shared" ca="1" si="2"/>
        <v>88</v>
      </c>
      <c r="D19" s="18">
        <f t="shared" ca="1" si="3"/>
        <v>58</v>
      </c>
      <c r="E19" s="18">
        <f t="shared" ca="1" si="3"/>
        <v>85</v>
      </c>
      <c r="F19" s="76">
        <f t="shared" ca="1" si="0"/>
        <v>231</v>
      </c>
      <c r="G19" s="15">
        <f t="shared" ca="1" si="1"/>
        <v>0.77</v>
      </c>
    </row>
    <row r="20" spans="1:7" ht="18" thickBot="1" x14ac:dyDescent="0.3">
      <c r="A20" s="75">
        <v>19</v>
      </c>
      <c r="B20" s="14" t="s">
        <v>77</v>
      </c>
      <c r="C20" s="18">
        <f t="shared" ca="1" si="2"/>
        <v>48</v>
      </c>
      <c r="D20" s="18">
        <f t="shared" ca="1" si="3"/>
        <v>38</v>
      </c>
      <c r="E20" s="18">
        <f t="shared" ca="1" si="3"/>
        <v>65</v>
      </c>
      <c r="F20" s="76">
        <f t="shared" ca="1" si="0"/>
        <v>151</v>
      </c>
      <c r="G20" s="15">
        <f t="shared" ca="1" si="1"/>
        <v>0.5033333333333333</v>
      </c>
    </row>
    <row r="21" spans="1:7" ht="18" thickBot="1" x14ac:dyDescent="0.3">
      <c r="A21" s="74">
        <v>20</v>
      </c>
      <c r="B21" s="13" t="s">
        <v>78</v>
      </c>
      <c r="C21" s="16">
        <v>41</v>
      </c>
      <c r="D21" s="18">
        <f t="shared" ca="1" si="3"/>
        <v>50</v>
      </c>
      <c r="E21" s="18">
        <f t="shared" ca="1" si="3"/>
        <v>61</v>
      </c>
      <c r="F21" s="76">
        <f t="shared" ca="1" si="0"/>
        <v>152</v>
      </c>
      <c r="G21" s="15">
        <f t="shared" ca="1" si="1"/>
        <v>0.50666666666666671</v>
      </c>
    </row>
  </sheetData>
  <mergeCells count="1">
    <mergeCell ref="S3:W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38E9-142B-4C13-B9A1-41C84CE1769A}">
  <dimension ref="A1:U26"/>
  <sheetViews>
    <sheetView workbookViewId="0">
      <selection activeCell="Q4" sqref="Q4:U10"/>
    </sheetView>
  </sheetViews>
  <sheetFormatPr defaultRowHeight="15" x14ac:dyDescent="0.25"/>
  <cols>
    <col min="1" max="1" width="14.7109375" customWidth="1"/>
    <col min="2" max="2" width="15.140625" customWidth="1"/>
    <col min="3" max="3" width="12.28515625" customWidth="1"/>
  </cols>
  <sheetData>
    <row r="1" spans="1:21" ht="34.5" x14ac:dyDescent="0.25">
      <c r="A1" s="47" t="s">
        <v>81</v>
      </c>
      <c r="B1" s="47" t="s">
        <v>82</v>
      </c>
      <c r="C1" s="47" t="s">
        <v>50</v>
      </c>
    </row>
    <row r="2" spans="1:21" ht="17.25" x14ac:dyDescent="0.25">
      <c r="A2" s="22" t="s">
        <v>83</v>
      </c>
      <c r="B2" s="23">
        <v>45292</v>
      </c>
      <c r="C2" s="24">
        <v>12000</v>
      </c>
    </row>
    <row r="3" spans="1:21" ht="18" thickBot="1" x14ac:dyDescent="0.3">
      <c r="A3" s="25" t="s">
        <v>84</v>
      </c>
      <c r="B3" s="26">
        <v>45294</v>
      </c>
      <c r="C3" s="27">
        <v>25000</v>
      </c>
    </row>
    <row r="4" spans="1:21" ht="17.25" x14ac:dyDescent="0.25">
      <c r="A4" s="22" t="s">
        <v>85</v>
      </c>
      <c r="B4" s="23">
        <v>45296</v>
      </c>
      <c r="C4" s="24">
        <v>8000</v>
      </c>
      <c r="Q4" s="77" t="s">
        <v>88</v>
      </c>
      <c r="R4" s="78"/>
      <c r="S4" s="78"/>
      <c r="T4" s="78"/>
      <c r="U4" s="79"/>
    </row>
    <row r="5" spans="1:21" ht="17.25" x14ac:dyDescent="0.25">
      <c r="A5" s="25" t="s">
        <v>86</v>
      </c>
      <c r="B5" s="26">
        <v>45299</v>
      </c>
      <c r="C5" s="27">
        <v>32000</v>
      </c>
      <c r="Q5" s="80"/>
      <c r="R5" s="73"/>
      <c r="S5" s="73"/>
      <c r="T5" s="73"/>
      <c r="U5" s="81"/>
    </row>
    <row r="6" spans="1:21" ht="17.25" x14ac:dyDescent="0.25">
      <c r="A6" s="22" t="s">
        <v>87</v>
      </c>
      <c r="B6" s="23">
        <v>45301</v>
      </c>
      <c r="C6" s="24">
        <v>15000</v>
      </c>
      <c r="Q6" s="80"/>
      <c r="R6" s="73"/>
      <c r="S6" s="73"/>
      <c r="T6" s="73"/>
      <c r="U6" s="81"/>
    </row>
    <row r="7" spans="1:21" ht="17.25" x14ac:dyDescent="0.25">
      <c r="A7" s="22" t="s">
        <v>89</v>
      </c>
      <c r="B7" s="23">
        <v>45292</v>
      </c>
      <c r="C7" s="28">
        <v>22148</v>
      </c>
      <c r="Q7" s="80"/>
      <c r="R7" s="73"/>
      <c r="S7" s="73"/>
      <c r="T7" s="73"/>
      <c r="U7" s="81"/>
    </row>
    <row r="8" spans="1:21" ht="17.25" x14ac:dyDescent="0.25">
      <c r="A8" s="25" t="s">
        <v>90</v>
      </c>
      <c r="B8" s="26">
        <v>45294</v>
      </c>
      <c r="C8" s="28">
        <v>29939</v>
      </c>
      <c r="Q8" s="80"/>
      <c r="R8" s="73"/>
      <c r="S8" s="73"/>
      <c r="T8" s="73"/>
      <c r="U8" s="81"/>
    </row>
    <row r="9" spans="1:21" ht="17.25" x14ac:dyDescent="0.25">
      <c r="A9" s="22" t="s">
        <v>91</v>
      </c>
      <c r="B9" s="23">
        <v>45296</v>
      </c>
      <c r="C9" s="28">
        <v>23637</v>
      </c>
      <c r="Q9" s="80"/>
      <c r="R9" s="73"/>
      <c r="S9" s="73"/>
      <c r="T9" s="73"/>
      <c r="U9" s="81"/>
    </row>
    <row r="10" spans="1:21" ht="18" thickBot="1" x14ac:dyDescent="0.3">
      <c r="A10" s="25" t="s">
        <v>92</v>
      </c>
      <c r="B10" s="26">
        <v>45299</v>
      </c>
      <c r="C10" s="28">
        <v>22552</v>
      </c>
      <c r="Q10" s="82"/>
      <c r="R10" s="83"/>
      <c r="S10" s="83"/>
      <c r="T10" s="83"/>
      <c r="U10" s="84"/>
    </row>
    <row r="11" spans="1:21" ht="17.25" x14ac:dyDescent="0.25">
      <c r="A11" s="22" t="s">
        <v>93</v>
      </c>
      <c r="B11" s="23">
        <v>45301</v>
      </c>
      <c r="C11" s="28">
        <v>27563</v>
      </c>
    </row>
    <row r="12" spans="1:21" ht="17.25" x14ac:dyDescent="0.25">
      <c r="A12" s="22" t="s">
        <v>94</v>
      </c>
      <c r="B12" s="23">
        <v>45292</v>
      </c>
      <c r="C12" s="28">
        <v>24630</v>
      </c>
    </row>
    <row r="13" spans="1:21" ht="17.25" x14ac:dyDescent="0.25">
      <c r="A13" s="25" t="s">
        <v>95</v>
      </c>
      <c r="B13" s="26">
        <v>45294</v>
      </c>
      <c r="C13" s="28">
        <v>19007</v>
      </c>
    </row>
    <row r="14" spans="1:21" ht="17.25" x14ac:dyDescent="0.25">
      <c r="A14" s="22" t="s">
        <v>96</v>
      </c>
      <c r="B14" s="23">
        <v>45296</v>
      </c>
      <c r="C14" s="28">
        <v>26961</v>
      </c>
    </row>
    <row r="15" spans="1:21" ht="17.25" x14ac:dyDescent="0.25">
      <c r="A15" s="25" t="s">
        <v>97</v>
      </c>
      <c r="B15" s="26">
        <v>45299</v>
      </c>
      <c r="C15" s="28">
        <v>28175</v>
      </c>
    </row>
    <row r="16" spans="1:21" ht="17.25" x14ac:dyDescent="0.25">
      <c r="A16" s="22" t="s">
        <v>98</v>
      </c>
      <c r="B16" s="23">
        <v>45301</v>
      </c>
      <c r="C16" s="28">
        <v>19794</v>
      </c>
    </row>
    <row r="17" spans="1:3" ht="17.25" x14ac:dyDescent="0.25">
      <c r="A17" s="22" t="s">
        <v>99</v>
      </c>
      <c r="B17" s="23">
        <v>45292</v>
      </c>
      <c r="C17" s="28">
        <v>14097</v>
      </c>
    </row>
    <row r="18" spans="1:3" ht="17.25" x14ac:dyDescent="0.25">
      <c r="A18" s="25" t="s">
        <v>100</v>
      </c>
      <c r="B18" s="26">
        <v>45294</v>
      </c>
      <c r="C18" s="28">
        <v>25560</v>
      </c>
    </row>
    <row r="19" spans="1:3" ht="17.25" x14ac:dyDescent="0.25">
      <c r="A19" s="22" t="s">
        <v>101</v>
      </c>
      <c r="B19" s="23">
        <v>45296</v>
      </c>
      <c r="C19" s="28">
        <v>22854</v>
      </c>
    </row>
    <row r="20" spans="1:3" ht="17.25" x14ac:dyDescent="0.25">
      <c r="A20" s="25" t="s">
        <v>102</v>
      </c>
      <c r="B20" s="26">
        <v>45299</v>
      </c>
      <c r="C20" s="28">
        <v>23738</v>
      </c>
    </row>
    <row r="21" spans="1:3" ht="17.25" x14ac:dyDescent="0.25">
      <c r="A21" s="30" t="s">
        <v>103</v>
      </c>
      <c r="B21" s="31">
        <v>45301</v>
      </c>
      <c r="C21" s="32">
        <v>15888</v>
      </c>
    </row>
    <row r="22" spans="1:3" x14ac:dyDescent="0.25">
      <c r="A22" s="33"/>
      <c r="B22" s="33"/>
      <c r="C22" s="34"/>
    </row>
    <row r="23" spans="1:3" x14ac:dyDescent="0.25">
      <c r="B23" s="20" t="s">
        <v>106</v>
      </c>
      <c r="C23" s="21">
        <f>SUM(C2:C21)</f>
        <v>438543</v>
      </c>
    </row>
    <row r="24" spans="1:3" x14ac:dyDescent="0.25">
      <c r="B24" s="20" t="s">
        <v>107</v>
      </c>
      <c r="C24" s="21">
        <f>AVERAGE(C2:C21)</f>
        <v>21927.15</v>
      </c>
    </row>
    <row r="25" spans="1:3" x14ac:dyDescent="0.25">
      <c r="B25" s="20" t="s">
        <v>104</v>
      </c>
      <c r="C25" s="21">
        <f>MAX(C2:C21)</f>
        <v>32000</v>
      </c>
    </row>
    <row r="26" spans="1:3" x14ac:dyDescent="0.25">
      <c r="B26" s="20" t="s">
        <v>105</v>
      </c>
      <c r="C26" s="21">
        <f>MIN(C2:C21)</f>
        <v>8000</v>
      </c>
    </row>
  </sheetData>
  <mergeCells count="1">
    <mergeCell ref="Q4:U10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7010-1541-4A3C-8F27-473CE52DE7B8}">
  <dimension ref="A1:T23"/>
  <sheetViews>
    <sheetView workbookViewId="0">
      <selection activeCell="Q3" sqref="Q3:T7"/>
    </sheetView>
  </sheetViews>
  <sheetFormatPr defaultRowHeight="15" x14ac:dyDescent="0.25"/>
  <cols>
    <col min="1" max="1" width="12.7109375" customWidth="1"/>
    <col min="2" max="2" width="16.42578125" customWidth="1"/>
    <col min="8" max="8" width="12.28515625" bestFit="1" customWidth="1"/>
  </cols>
  <sheetData>
    <row r="1" spans="1:20" ht="34.5" x14ac:dyDescent="0.25">
      <c r="A1" s="47" t="s">
        <v>108</v>
      </c>
      <c r="B1" s="47" t="s">
        <v>2</v>
      </c>
      <c r="C1" s="47" t="s">
        <v>3</v>
      </c>
    </row>
    <row r="2" spans="1:20" ht="18" thickBot="1" x14ac:dyDescent="0.3">
      <c r="A2" s="25" t="s">
        <v>112</v>
      </c>
      <c r="B2" s="25" t="s">
        <v>13</v>
      </c>
      <c r="C2" s="27">
        <v>42000</v>
      </c>
    </row>
    <row r="3" spans="1:20" ht="17.25" x14ac:dyDescent="0.25">
      <c r="A3" s="25" t="s">
        <v>114</v>
      </c>
      <c r="B3" s="25" t="s">
        <v>13</v>
      </c>
      <c r="C3" s="27">
        <v>38000</v>
      </c>
      <c r="E3" s="37" t="s">
        <v>116</v>
      </c>
      <c r="F3" s="37"/>
      <c r="G3" s="37"/>
      <c r="H3" s="21">
        <v>221657</v>
      </c>
      <c r="Q3" s="77" t="s">
        <v>115</v>
      </c>
      <c r="R3" s="78"/>
      <c r="S3" s="78"/>
      <c r="T3" s="79"/>
    </row>
    <row r="4" spans="1:20" ht="17.25" x14ac:dyDescent="0.25">
      <c r="A4" s="25" t="s">
        <v>112</v>
      </c>
      <c r="B4" s="25" t="s">
        <v>13</v>
      </c>
      <c r="C4" s="29">
        <v>28454</v>
      </c>
      <c r="E4" s="37" t="s">
        <v>117</v>
      </c>
      <c r="F4" s="37"/>
      <c r="G4" s="37"/>
      <c r="H4" s="21">
        <v>243097</v>
      </c>
      <c r="Q4" s="80"/>
      <c r="R4" s="73"/>
      <c r="S4" s="73"/>
      <c r="T4" s="81"/>
    </row>
    <row r="5" spans="1:20" ht="17.25" x14ac:dyDescent="0.25">
      <c r="A5" s="25" t="s">
        <v>114</v>
      </c>
      <c r="B5" s="25" t="s">
        <v>13</v>
      </c>
      <c r="C5" s="29">
        <v>33205</v>
      </c>
      <c r="E5" s="38" t="s">
        <v>118</v>
      </c>
      <c r="F5" s="38"/>
      <c r="G5" s="38"/>
      <c r="H5" s="21">
        <v>260757</v>
      </c>
      <c r="Q5" s="80"/>
      <c r="R5" s="73"/>
      <c r="S5" s="73"/>
      <c r="T5" s="81"/>
    </row>
    <row r="6" spans="1:20" ht="17.25" x14ac:dyDescent="0.25">
      <c r="A6" s="25" t="s">
        <v>112</v>
      </c>
      <c r="B6" s="25" t="s">
        <v>13</v>
      </c>
      <c r="C6" s="29">
        <v>48337</v>
      </c>
      <c r="Q6" s="80"/>
      <c r="R6" s="73"/>
      <c r="S6" s="73"/>
      <c r="T6" s="81"/>
    </row>
    <row r="7" spans="1:20" ht="18" thickBot="1" x14ac:dyDescent="0.3">
      <c r="A7" s="25" t="s">
        <v>114</v>
      </c>
      <c r="B7" s="25" t="s">
        <v>13</v>
      </c>
      <c r="C7" s="29">
        <v>31661</v>
      </c>
      <c r="Q7" s="82"/>
      <c r="R7" s="83"/>
      <c r="S7" s="83"/>
      <c r="T7" s="84"/>
    </row>
    <row r="8" spans="1:20" ht="17.25" x14ac:dyDescent="0.25">
      <c r="A8" s="22" t="s">
        <v>109</v>
      </c>
      <c r="B8" s="22" t="s">
        <v>7</v>
      </c>
      <c r="C8" s="24">
        <v>28000</v>
      </c>
    </row>
    <row r="9" spans="1:20" ht="17.25" x14ac:dyDescent="0.25">
      <c r="A9" s="22" t="s">
        <v>113</v>
      </c>
      <c r="B9" s="22" t="s">
        <v>7</v>
      </c>
      <c r="C9" s="24">
        <v>30000</v>
      </c>
    </row>
    <row r="10" spans="1:20" ht="17.25" x14ac:dyDescent="0.25">
      <c r="A10" s="22" t="s">
        <v>109</v>
      </c>
      <c r="B10" s="22" t="s">
        <v>7</v>
      </c>
      <c r="C10" s="29">
        <v>46333</v>
      </c>
    </row>
    <row r="11" spans="1:20" ht="17.25" x14ac:dyDescent="0.25">
      <c r="A11" s="22" t="s">
        <v>113</v>
      </c>
      <c r="B11" s="22" t="s">
        <v>7</v>
      </c>
      <c r="C11" s="29">
        <v>21920</v>
      </c>
    </row>
    <row r="12" spans="1:20" ht="17.25" x14ac:dyDescent="0.25">
      <c r="A12" s="22" t="s">
        <v>109</v>
      </c>
      <c r="B12" s="22" t="s">
        <v>7</v>
      </c>
      <c r="C12" s="29">
        <v>23157</v>
      </c>
    </row>
    <row r="13" spans="1:20" ht="17.25" x14ac:dyDescent="0.25">
      <c r="A13" s="22" t="s">
        <v>113</v>
      </c>
      <c r="B13" s="22" t="s">
        <v>7</v>
      </c>
      <c r="C13" s="29">
        <v>47580</v>
      </c>
    </row>
    <row r="14" spans="1:20" ht="17.25" x14ac:dyDescent="0.25">
      <c r="A14" s="22" t="s">
        <v>109</v>
      </c>
      <c r="B14" s="22" t="s">
        <v>7</v>
      </c>
      <c r="C14" s="29">
        <v>46107</v>
      </c>
    </row>
    <row r="15" spans="1:20" ht="17.25" x14ac:dyDescent="0.25">
      <c r="A15" s="25" t="s">
        <v>110</v>
      </c>
      <c r="B15" s="25" t="s">
        <v>10</v>
      </c>
      <c r="C15" s="27">
        <v>45000</v>
      </c>
    </row>
    <row r="16" spans="1:20" ht="17.25" x14ac:dyDescent="0.25">
      <c r="A16" s="22" t="s">
        <v>111</v>
      </c>
      <c r="B16" s="22" t="s">
        <v>10</v>
      </c>
      <c r="C16" s="24">
        <v>50000</v>
      </c>
    </row>
    <row r="17" spans="1:3" ht="17.25" x14ac:dyDescent="0.25">
      <c r="A17" s="25" t="s">
        <v>110</v>
      </c>
      <c r="B17" s="25" t="s">
        <v>10</v>
      </c>
      <c r="C17" s="29">
        <v>48883</v>
      </c>
    </row>
    <row r="18" spans="1:3" ht="17.25" x14ac:dyDescent="0.25">
      <c r="A18" s="22" t="s">
        <v>111</v>
      </c>
      <c r="B18" s="22" t="s">
        <v>10</v>
      </c>
      <c r="C18" s="29">
        <v>38008</v>
      </c>
    </row>
    <row r="19" spans="1:3" ht="17.25" x14ac:dyDescent="0.25">
      <c r="A19" s="25" t="s">
        <v>110</v>
      </c>
      <c r="B19" s="25" t="s">
        <v>10</v>
      </c>
      <c r="C19" s="29">
        <v>53715</v>
      </c>
    </row>
    <row r="20" spans="1:3" ht="17.25" x14ac:dyDescent="0.25">
      <c r="A20" s="22" t="s">
        <v>111</v>
      </c>
      <c r="B20" s="22" t="s">
        <v>10</v>
      </c>
      <c r="C20" s="29">
        <v>25151</v>
      </c>
    </row>
    <row r="21" spans="1:3" ht="18" thickBot="1" x14ac:dyDescent="0.3">
      <c r="A21" s="35"/>
    </row>
    <row r="22" spans="1:3" ht="18" thickBot="1" x14ac:dyDescent="0.3">
      <c r="A22" s="11"/>
      <c r="B22" s="20" t="s">
        <v>119</v>
      </c>
      <c r="C22" s="21">
        <v>38184.789473684214</v>
      </c>
    </row>
    <row r="23" spans="1:3" ht="18" thickBot="1" x14ac:dyDescent="0.3">
      <c r="A23" s="12"/>
      <c r="B23" s="20" t="s">
        <v>120</v>
      </c>
      <c r="C23" s="39">
        <v>19</v>
      </c>
    </row>
  </sheetData>
  <sortState xmlns:xlrd2="http://schemas.microsoft.com/office/spreadsheetml/2017/richdata2" ref="A2:C20">
    <sortCondition ref="B2:B20"/>
  </sortState>
  <mergeCells count="3">
    <mergeCell ref="Q3:T7"/>
    <mergeCell ref="E3:G3"/>
    <mergeCell ref="E4:G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80D3-664F-4313-A87B-95FF7642C04F}">
  <dimension ref="A1:R24"/>
  <sheetViews>
    <sheetView workbookViewId="0">
      <selection activeCell="O5" sqref="O5:R12"/>
    </sheetView>
  </sheetViews>
  <sheetFormatPr defaultRowHeight="15" x14ac:dyDescent="0.25"/>
  <cols>
    <col min="1" max="1" width="14.85546875" customWidth="1"/>
    <col min="2" max="2" width="13.140625" bestFit="1" customWidth="1"/>
    <col min="3" max="6" width="7.7109375" bestFit="1" customWidth="1"/>
  </cols>
  <sheetData>
    <row r="1" spans="1:18" ht="34.5" x14ac:dyDescent="0.25">
      <c r="A1" s="48" t="s">
        <v>69</v>
      </c>
      <c r="B1" s="48" t="s">
        <v>121</v>
      </c>
      <c r="C1" s="48" t="s">
        <v>122</v>
      </c>
      <c r="D1" s="48" t="s">
        <v>123</v>
      </c>
      <c r="E1" s="48" t="s">
        <v>124</v>
      </c>
      <c r="F1" s="48" t="s">
        <v>125</v>
      </c>
    </row>
    <row r="2" spans="1:18" ht="17.25" x14ac:dyDescent="0.25">
      <c r="A2" s="41" t="s">
        <v>74</v>
      </c>
      <c r="B2" s="29" t="s">
        <v>126</v>
      </c>
      <c r="C2" s="24" t="s">
        <v>127</v>
      </c>
      <c r="D2" s="24" t="s">
        <v>126</v>
      </c>
      <c r="E2" s="24" t="s">
        <v>126</v>
      </c>
      <c r="F2" s="24" t="s">
        <v>126</v>
      </c>
    </row>
    <row r="3" spans="1:18" ht="17.25" x14ac:dyDescent="0.25">
      <c r="A3" s="41" t="s">
        <v>75</v>
      </c>
      <c r="B3" s="29" t="s">
        <v>126</v>
      </c>
      <c r="C3" s="27" t="s">
        <v>126</v>
      </c>
      <c r="D3" s="27" t="s">
        <v>126</v>
      </c>
      <c r="E3" s="27" t="s">
        <v>127</v>
      </c>
      <c r="F3" s="27" t="s">
        <v>126</v>
      </c>
    </row>
    <row r="4" spans="1:18" ht="18" thickBot="1" x14ac:dyDescent="0.3">
      <c r="A4" s="41" t="s">
        <v>76</v>
      </c>
      <c r="B4" s="29" t="s">
        <v>127</v>
      </c>
      <c r="C4" s="24" t="s">
        <v>126</v>
      </c>
      <c r="D4" s="24" t="s">
        <v>126</v>
      </c>
      <c r="E4" s="24" t="s">
        <v>126</v>
      </c>
      <c r="F4" s="24" t="s">
        <v>126</v>
      </c>
    </row>
    <row r="5" spans="1:18" ht="17.25" x14ac:dyDescent="0.25">
      <c r="A5" s="41" t="s">
        <v>77</v>
      </c>
      <c r="B5" s="29" t="s">
        <v>126</v>
      </c>
      <c r="C5" s="27" t="s">
        <v>127</v>
      </c>
      <c r="D5" s="27" t="s">
        <v>127</v>
      </c>
      <c r="E5" s="27" t="s">
        <v>126</v>
      </c>
      <c r="F5" s="27" t="s">
        <v>127</v>
      </c>
      <c r="O5" s="85" t="s">
        <v>128</v>
      </c>
      <c r="P5" s="86"/>
      <c r="Q5" s="86"/>
      <c r="R5" s="87"/>
    </row>
    <row r="6" spans="1:18" ht="17.25" x14ac:dyDescent="0.25">
      <c r="A6" s="41" t="s">
        <v>74</v>
      </c>
      <c r="B6" s="29" t="s">
        <v>126</v>
      </c>
      <c r="C6" s="24" t="s">
        <v>127</v>
      </c>
      <c r="D6" s="24" t="s">
        <v>126</v>
      </c>
      <c r="E6" s="24" t="s">
        <v>126</v>
      </c>
      <c r="F6" s="24" t="s">
        <v>126</v>
      </c>
      <c r="O6" s="88"/>
      <c r="P6" s="89"/>
      <c r="Q6" s="89"/>
      <c r="R6" s="90"/>
    </row>
    <row r="7" spans="1:18" ht="17.25" x14ac:dyDescent="0.25">
      <c r="A7" s="41" t="s">
        <v>75</v>
      </c>
      <c r="B7" s="29" t="s">
        <v>126</v>
      </c>
      <c r="C7" s="27" t="s">
        <v>126</v>
      </c>
      <c r="D7" s="27" t="s">
        <v>126</v>
      </c>
      <c r="E7" s="27" t="s">
        <v>127</v>
      </c>
      <c r="F7" s="27" t="s">
        <v>126</v>
      </c>
      <c r="O7" s="88"/>
      <c r="P7" s="89"/>
      <c r="Q7" s="89"/>
      <c r="R7" s="90"/>
    </row>
    <row r="8" spans="1:18" ht="17.25" x14ac:dyDescent="0.25">
      <c r="A8" s="41" t="s">
        <v>76</v>
      </c>
      <c r="B8" s="29" t="s">
        <v>127</v>
      </c>
      <c r="C8" s="24" t="s">
        <v>126</v>
      </c>
      <c r="D8" s="24" t="s">
        <v>126</v>
      </c>
      <c r="E8" s="24" t="s">
        <v>126</v>
      </c>
      <c r="F8" s="24" t="s">
        <v>126</v>
      </c>
      <c r="O8" s="88"/>
      <c r="P8" s="89"/>
      <c r="Q8" s="89"/>
      <c r="R8" s="90"/>
    </row>
    <row r="9" spans="1:18" ht="17.25" x14ac:dyDescent="0.25">
      <c r="A9" s="41" t="s">
        <v>77</v>
      </c>
      <c r="B9" s="29" t="s">
        <v>126</v>
      </c>
      <c r="C9" s="27" t="s">
        <v>127</v>
      </c>
      <c r="D9" s="27" t="s">
        <v>127</v>
      </c>
      <c r="E9" s="27" t="s">
        <v>126</v>
      </c>
      <c r="F9" s="27" t="s">
        <v>127</v>
      </c>
      <c r="O9" s="88"/>
      <c r="P9" s="89"/>
      <c r="Q9" s="89"/>
      <c r="R9" s="90"/>
    </row>
    <row r="10" spans="1:18" ht="17.25" x14ac:dyDescent="0.25">
      <c r="A10" s="41" t="s">
        <v>74</v>
      </c>
      <c r="B10" s="29" t="s">
        <v>126</v>
      </c>
      <c r="C10" s="24" t="s">
        <v>127</v>
      </c>
      <c r="D10" s="24" t="s">
        <v>126</v>
      </c>
      <c r="E10" s="24" t="s">
        <v>126</v>
      </c>
      <c r="F10" s="24" t="s">
        <v>126</v>
      </c>
      <c r="O10" s="88"/>
      <c r="P10" s="89"/>
      <c r="Q10" s="89"/>
      <c r="R10" s="90"/>
    </row>
    <row r="11" spans="1:18" ht="17.25" x14ac:dyDescent="0.25">
      <c r="A11" s="41" t="s">
        <v>75</v>
      </c>
      <c r="B11" s="29" t="s">
        <v>126</v>
      </c>
      <c r="C11" s="27" t="s">
        <v>126</v>
      </c>
      <c r="D11" s="27" t="s">
        <v>126</v>
      </c>
      <c r="E11" s="27" t="s">
        <v>127</v>
      </c>
      <c r="F11" s="27" t="s">
        <v>126</v>
      </c>
      <c r="O11" s="88"/>
      <c r="P11" s="89"/>
      <c r="Q11" s="89"/>
      <c r="R11" s="90"/>
    </row>
    <row r="12" spans="1:18" ht="18" thickBot="1" x14ac:dyDescent="0.3">
      <c r="A12" s="41" t="s">
        <v>76</v>
      </c>
      <c r="B12" s="29" t="s">
        <v>127</v>
      </c>
      <c r="C12" s="24" t="s">
        <v>126</v>
      </c>
      <c r="D12" s="24" t="s">
        <v>126</v>
      </c>
      <c r="E12" s="24" t="s">
        <v>126</v>
      </c>
      <c r="F12" s="24" t="s">
        <v>126</v>
      </c>
      <c r="O12" s="91"/>
      <c r="P12" s="92"/>
      <c r="Q12" s="92"/>
      <c r="R12" s="93"/>
    </row>
    <row r="13" spans="1:18" ht="17.25" x14ac:dyDescent="0.25">
      <c r="A13" s="41" t="s">
        <v>77</v>
      </c>
      <c r="B13" s="29" t="s">
        <v>126</v>
      </c>
      <c r="C13" s="27" t="s">
        <v>127</v>
      </c>
      <c r="D13" s="27" t="s">
        <v>127</v>
      </c>
      <c r="E13" s="27" t="s">
        <v>126</v>
      </c>
      <c r="F13" s="27" t="s">
        <v>127</v>
      </c>
    </row>
    <row r="14" spans="1:18" ht="17.25" x14ac:dyDescent="0.25">
      <c r="A14" s="41" t="s">
        <v>74</v>
      </c>
      <c r="B14" s="29" t="s">
        <v>126</v>
      </c>
      <c r="C14" s="24" t="s">
        <v>127</v>
      </c>
      <c r="D14" s="24" t="s">
        <v>126</v>
      </c>
      <c r="E14" s="24" t="s">
        <v>126</v>
      </c>
      <c r="F14" s="24" t="s">
        <v>126</v>
      </c>
    </row>
    <row r="15" spans="1:18" ht="17.25" x14ac:dyDescent="0.25">
      <c r="A15" s="41" t="s">
        <v>75</v>
      </c>
      <c r="B15" s="29" t="s">
        <v>126</v>
      </c>
      <c r="C15" s="27" t="s">
        <v>126</v>
      </c>
      <c r="D15" s="27" t="s">
        <v>126</v>
      </c>
      <c r="E15" s="27" t="s">
        <v>127</v>
      </c>
      <c r="F15" s="27" t="s">
        <v>126</v>
      </c>
    </row>
    <row r="16" spans="1:18" ht="17.25" x14ac:dyDescent="0.25">
      <c r="A16" s="41" t="s">
        <v>76</v>
      </c>
      <c r="B16" s="29" t="s">
        <v>127</v>
      </c>
      <c r="C16" s="24" t="s">
        <v>126</v>
      </c>
      <c r="D16" s="24" t="s">
        <v>126</v>
      </c>
      <c r="E16" s="24" t="s">
        <v>126</v>
      </c>
      <c r="F16" s="24" t="s">
        <v>126</v>
      </c>
    </row>
    <row r="17" spans="1:6" ht="17.25" x14ac:dyDescent="0.25">
      <c r="A17" s="41" t="s">
        <v>77</v>
      </c>
      <c r="B17" s="29" t="s">
        <v>126</v>
      </c>
      <c r="C17" s="27" t="s">
        <v>127</v>
      </c>
      <c r="D17" s="27" t="s">
        <v>127</v>
      </c>
      <c r="E17" s="27" t="s">
        <v>126</v>
      </c>
      <c r="F17" s="27" t="s">
        <v>127</v>
      </c>
    </row>
    <row r="18" spans="1:6" ht="17.25" x14ac:dyDescent="0.25">
      <c r="A18" s="41" t="s">
        <v>74</v>
      </c>
      <c r="B18" s="29" t="s">
        <v>126</v>
      </c>
      <c r="C18" s="24" t="s">
        <v>127</v>
      </c>
      <c r="D18" s="24" t="s">
        <v>126</v>
      </c>
      <c r="E18" s="24" t="s">
        <v>126</v>
      </c>
      <c r="F18" s="24" t="s">
        <v>126</v>
      </c>
    </row>
    <row r="19" spans="1:6" ht="17.25" x14ac:dyDescent="0.25">
      <c r="A19" s="41" t="s">
        <v>75</v>
      </c>
      <c r="B19" s="29" t="s">
        <v>126</v>
      </c>
      <c r="C19" s="27" t="s">
        <v>126</v>
      </c>
      <c r="D19" s="27" t="s">
        <v>126</v>
      </c>
      <c r="E19" s="27" t="s">
        <v>127</v>
      </c>
      <c r="F19" s="27" t="s">
        <v>126</v>
      </c>
    </row>
    <row r="20" spans="1:6" ht="17.25" x14ac:dyDescent="0.25">
      <c r="A20" s="41" t="s">
        <v>76</v>
      </c>
      <c r="B20" s="29" t="s">
        <v>126</v>
      </c>
      <c r="C20" s="24" t="s">
        <v>126</v>
      </c>
      <c r="D20" s="24" t="s">
        <v>126</v>
      </c>
      <c r="E20" s="24" t="s">
        <v>126</v>
      </c>
      <c r="F20" s="24" t="s">
        <v>126</v>
      </c>
    </row>
    <row r="21" spans="1:6" ht="17.25" x14ac:dyDescent="0.25">
      <c r="A21" s="41" t="s">
        <v>77</v>
      </c>
      <c r="B21" s="29" t="s">
        <v>127</v>
      </c>
      <c r="C21" s="27" t="s">
        <v>127</v>
      </c>
      <c r="D21" s="27" t="s">
        <v>127</v>
      </c>
      <c r="E21" s="27" t="s">
        <v>126</v>
      </c>
      <c r="F21" s="27" t="s">
        <v>127</v>
      </c>
    </row>
    <row r="23" spans="1:6" x14ac:dyDescent="0.25">
      <c r="B23" s="20" t="s">
        <v>129</v>
      </c>
      <c r="C23" s="20">
        <f>COUNTIF(B2:F21,"P")</f>
        <v>70</v>
      </c>
    </row>
    <row r="24" spans="1:6" x14ac:dyDescent="0.25">
      <c r="B24" s="40" t="s">
        <v>130</v>
      </c>
      <c r="C24" s="20">
        <f>COUNTIF(B2:F21,"A")</f>
        <v>30</v>
      </c>
    </row>
  </sheetData>
  <mergeCells count="1">
    <mergeCell ref="O5:R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DF63-81EE-4127-864A-06B1C92177E1}">
  <dimension ref="A1:S23"/>
  <sheetViews>
    <sheetView workbookViewId="0">
      <selection activeCell="P5" sqref="P5:S11"/>
    </sheetView>
  </sheetViews>
  <sheetFormatPr defaultRowHeight="15" x14ac:dyDescent="0.25"/>
  <cols>
    <col min="2" max="2" width="11.28515625" customWidth="1"/>
  </cols>
  <sheetData>
    <row r="1" spans="1:19" ht="51.75" x14ac:dyDescent="0.25">
      <c r="A1" s="49" t="s">
        <v>131</v>
      </c>
      <c r="B1" s="49" t="s">
        <v>50</v>
      </c>
    </row>
    <row r="2" spans="1:19" ht="17.25" x14ac:dyDescent="0.25">
      <c r="A2" s="22" t="s">
        <v>132</v>
      </c>
      <c r="B2" s="24">
        <v>4500</v>
      </c>
    </row>
    <row r="3" spans="1:19" ht="17.25" x14ac:dyDescent="0.25">
      <c r="A3" s="25" t="s">
        <v>133</v>
      </c>
      <c r="B3" s="27">
        <v>12000</v>
      </c>
    </row>
    <row r="4" spans="1:19" ht="18" thickBot="1" x14ac:dyDescent="0.3">
      <c r="A4" s="22" t="s">
        <v>134</v>
      </c>
      <c r="B4" s="24">
        <v>8000</v>
      </c>
    </row>
    <row r="5" spans="1:19" ht="17.25" x14ac:dyDescent="0.25">
      <c r="A5" s="25" t="s">
        <v>135</v>
      </c>
      <c r="B5" s="27">
        <v>25000</v>
      </c>
      <c r="P5" s="94" t="s">
        <v>138</v>
      </c>
      <c r="Q5" s="86"/>
      <c r="R5" s="86"/>
      <c r="S5" s="87"/>
    </row>
    <row r="6" spans="1:19" ht="17.25" x14ac:dyDescent="0.25">
      <c r="A6" s="22" t="s">
        <v>136</v>
      </c>
      <c r="B6" s="24">
        <v>3000</v>
      </c>
      <c r="P6" s="88"/>
      <c r="Q6" s="89"/>
      <c r="R6" s="89"/>
      <c r="S6" s="90"/>
    </row>
    <row r="7" spans="1:19" ht="17.25" x14ac:dyDescent="0.25">
      <c r="A7" s="25" t="s">
        <v>137</v>
      </c>
      <c r="B7" s="27">
        <v>15000</v>
      </c>
      <c r="P7" s="88"/>
      <c r="Q7" s="89"/>
      <c r="R7" s="89"/>
      <c r="S7" s="90"/>
    </row>
    <row r="8" spans="1:19" ht="17.25" x14ac:dyDescent="0.25">
      <c r="A8" s="22" t="s">
        <v>139</v>
      </c>
      <c r="B8" s="29">
        <v>5706</v>
      </c>
      <c r="P8" s="88"/>
      <c r="Q8" s="89"/>
      <c r="R8" s="89"/>
      <c r="S8" s="90"/>
    </row>
    <row r="9" spans="1:19" ht="17.25" x14ac:dyDescent="0.25">
      <c r="A9" s="25" t="s">
        <v>140</v>
      </c>
      <c r="B9" s="29">
        <v>16069</v>
      </c>
      <c r="P9" s="88"/>
      <c r="Q9" s="89"/>
      <c r="R9" s="89"/>
      <c r="S9" s="90"/>
    </row>
    <row r="10" spans="1:19" ht="17.25" x14ac:dyDescent="0.25">
      <c r="A10" s="22" t="s">
        <v>141</v>
      </c>
      <c r="B10" s="29">
        <v>12374</v>
      </c>
      <c r="P10" s="88"/>
      <c r="Q10" s="89"/>
      <c r="R10" s="89"/>
      <c r="S10" s="90"/>
    </row>
    <row r="11" spans="1:19" ht="18" thickBot="1" x14ac:dyDescent="0.3">
      <c r="A11" s="25" t="s">
        <v>142</v>
      </c>
      <c r="B11" s="29">
        <v>3461</v>
      </c>
      <c r="P11" s="91"/>
      <c r="Q11" s="92"/>
      <c r="R11" s="92"/>
      <c r="S11" s="93"/>
    </row>
    <row r="12" spans="1:19" ht="17.25" x14ac:dyDescent="0.25">
      <c r="A12" s="22" t="s">
        <v>143</v>
      </c>
      <c r="B12" s="29">
        <v>9723</v>
      </c>
    </row>
    <row r="13" spans="1:19" ht="16.5" customHeight="1" x14ac:dyDescent="0.25">
      <c r="A13" s="25" t="s">
        <v>144</v>
      </c>
      <c r="B13" s="29">
        <v>5595</v>
      </c>
    </row>
    <row r="14" spans="1:19" ht="17.25" x14ac:dyDescent="0.25">
      <c r="A14" s="22" t="s">
        <v>145</v>
      </c>
      <c r="B14" s="29">
        <v>13258</v>
      </c>
    </row>
    <row r="15" spans="1:19" ht="17.25" x14ac:dyDescent="0.25">
      <c r="A15" s="25" t="s">
        <v>146</v>
      </c>
      <c r="B15" s="29">
        <v>7891</v>
      </c>
    </row>
    <row r="16" spans="1:19" ht="17.25" x14ac:dyDescent="0.25">
      <c r="A16" s="22" t="s">
        <v>147</v>
      </c>
      <c r="B16" s="29">
        <v>17193</v>
      </c>
    </row>
    <row r="17" spans="1:4" ht="17.25" x14ac:dyDescent="0.25">
      <c r="A17" s="25" t="s">
        <v>148</v>
      </c>
      <c r="B17" s="29">
        <v>13453</v>
      </c>
    </row>
    <row r="18" spans="1:4" ht="17.25" x14ac:dyDescent="0.25">
      <c r="A18" s="22" t="s">
        <v>149</v>
      </c>
      <c r="B18" s="29">
        <v>17171</v>
      </c>
    </row>
    <row r="19" spans="1:4" ht="17.25" x14ac:dyDescent="0.25">
      <c r="A19" s="25" t="s">
        <v>150</v>
      </c>
      <c r="B19" s="29">
        <v>15452</v>
      </c>
    </row>
    <row r="20" spans="1:4" ht="17.25" x14ac:dyDescent="0.25">
      <c r="A20" s="22" t="s">
        <v>151</v>
      </c>
      <c r="B20" s="29">
        <v>7138</v>
      </c>
    </row>
    <row r="22" spans="1:4" x14ac:dyDescent="0.25">
      <c r="B22" s="20" t="s">
        <v>152</v>
      </c>
      <c r="C22" s="20"/>
      <c r="D22" s="20">
        <v>12</v>
      </c>
    </row>
    <row r="23" spans="1:4" x14ac:dyDescent="0.25">
      <c r="B23" s="20" t="s">
        <v>153</v>
      </c>
      <c r="C23" s="20"/>
      <c r="D23" s="20">
        <v>3</v>
      </c>
    </row>
  </sheetData>
  <mergeCells count="1">
    <mergeCell ref="P5:S11"/>
  </mergeCells>
  <phoneticPr fontId="5" type="noConversion"/>
  <conditionalFormatting sqref="B2:B20">
    <cfRule type="cellIs" dxfId="11" priority="1" operator="lessThan">
      <formula>5000</formula>
    </cfRule>
    <cfRule type="cellIs" dxfId="10" priority="2" operator="greaterThan">
      <formula>10000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12DE-CC25-4751-9BEC-258EFFC5B5FB}">
  <dimension ref="A1:P21"/>
  <sheetViews>
    <sheetView workbookViewId="0">
      <selection activeCell="M5" sqref="M5:P11"/>
    </sheetView>
  </sheetViews>
  <sheetFormatPr defaultRowHeight="15" x14ac:dyDescent="0.25"/>
  <cols>
    <col min="1" max="1" width="13.7109375" customWidth="1"/>
    <col min="2" max="2" width="10.7109375" customWidth="1"/>
  </cols>
  <sheetData>
    <row r="1" spans="1:16" ht="51.75" x14ac:dyDescent="0.25">
      <c r="A1" s="48" t="s">
        <v>154</v>
      </c>
      <c r="B1" s="48" t="s">
        <v>50</v>
      </c>
    </row>
    <row r="2" spans="1:16" ht="17.25" x14ac:dyDescent="0.25">
      <c r="A2" s="41" t="s">
        <v>155</v>
      </c>
      <c r="B2" s="24">
        <v>22000</v>
      </c>
    </row>
    <row r="3" spans="1:16" ht="17.25" x14ac:dyDescent="0.25">
      <c r="A3" s="41" t="s">
        <v>156</v>
      </c>
      <c r="B3" s="27">
        <v>3500</v>
      </c>
    </row>
    <row r="4" spans="1:16" ht="18" thickBot="1" x14ac:dyDescent="0.3">
      <c r="A4" s="41" t="s">
        <v>157</v>
      </c>
      <c r="B4" s="24">
        <v>58000</v>
      </c>
    </row>
    <row r="5" spans="1:16" ht="17.25" x14ac:dyDescent="0.25">
      <c r="A5" s="41" t="s">
        <v>158</v>
      </c>
      <c r="B5" s="27">
        <v>1800</v>
      </c>
      <c r="M5" s="94" t="s">
        <v>160</v>
      </c>
      <c r="N5" s="86"/>
      <c r="O5" s="86"/>
      <c r="P5" s="87"/>
    </row>
    <row r="6" spans="1:16" ht="17.25" x14ac:dyDescent="0.25">
      <c r="A6" s="41" t="s">
        <v>159</v>
      </c>
      <c r="B6" s="24">
        <v>12000</v>
      </c>
      <c r="M6" s="88"/>
      <c r="N6" s="89"/>
      <c r="O6" s="89"/>
      <c r="P6" s="90"/>
    </row>
    <row r="7" spans="1:16" x14ac:dyDescent="0.25">
      <c r="A7" s="41" t="s">
        <v>155</v>
      </c>
      <c r="B7" s="29">
        <v>29748</v>
      </c>
      <c r="M7" s="88"/>
      <c r="N7" s="89"/>
      <c r="O7" s="89"/>
      <c r="P7" s="90"/>
    </row>
    <row r="8" spans="1:16" x14ac:dyDescent="0.25">
      <c r="A8" s="41" t="s">
        <v>156</v>
      </c>
      <c r="B8" s="29">
        <v>22896</v>
      </c>
      <c r="M8" s="88"/>
      <c r="N8" s="89"/>
      <c r="O8" s="89"/>
      <c r="P8" s="90"/>
    </row>
    <row r="9" spans="1:16" x14ac:dyDescent="0.25">
      <c r="A9" s="41" t="s">
        <v>157</v>
      </c>
      <c r="B9" s="29">
        <v>39338</v>
      </c>
      <c r="M9" s="88"/>
      <c r="N9" s="89"/>
      <c r="O9" s="89"/>
      <c r="P9" s="90"/>
    </row>
    <row r="10" spans="1:16" x14ac:dyDescent="0.25">
      <c r="A10" s="41" t="s">
        <v>158</v>
      </c>
      <c r="B10" s="29">
        <v>40843</v>
      </c>
      <c r="M10" s="88"/>
      <c r="N10" s="89"/>
      <c r="O10" s="89"/>
      <c r="P10" s="90"/>
    </row>
    <row r="11" spans="1:16" ht="15.75" thickBot="1" x14ac:dyDescent="0.3">
      <c r="A11" s="41" t="s">
        <v>159</v>
      </c>
      <c r="B11" s="29">
        <v>13557</v>
      </c>
      <c r="M11" s="91"/>
      <c r="N11" s="92"/>
      <c r="O11" s="92"/>
      <c r="P11" s="93"/>
    </row>
    <row r="12" spans="1:16" x14ac:dyDescent="0.25">
      <c r="A12" s="41" t="s">
        <v>155</v>
      </c>
      <c r="B12" s="29">
        <v>4625</v>
      </c>
    </row>
    <row r="13" spans="1:16" x14ac:dyDescent="0.25">
      <c r="A13" s="41" t="s">
        <v>156</v>
      </c>
      <c r="B13" s="29">
        <v>41839</v>
      </c>
    </row>
    <row r="14" spans="1:16" x14ac:dyDescent="0.25">
      <c r="A14" s="41" t="s">
        <v>157</v>
      </c>
      <c r="B14" s="29">
        <v>51420</v>
      </c>
    </row>
    <row r="15" spans="1:16" x14ac:dyDescent="0.25">
      <c r="A15" s="41" t="s">
        <v>158</v>
      </c>
      <c r="B15" s="29">
        <v>46960</v>
      </c>
    </row>
    <row r="16" spans="1:16" x14ac:dyDescent="0.25">
      <c r="A16" s="41" t="s">
        <v>159</v>
      </c>
      <c r="B16" s="29">
        <v>16158</v>
      </c>
    </row>
    <row r="17" spans="1:2" x14ac:dyDescent="0.25">
      <c r="A17" s="41" t="s">
        <v>155</v>
      </c>
      <c r="B17" s="29">
        <v>53849</v>
      </c>
    </row>
    <row r="18" spans="1:2" x14ac:dyDescent="0.25">
      <c r="A18" s="41" t="s">
        <v>156</v>
      </c>
      <c r="B18" s="29">
        <v>66572</v>
      </c>
    </row>
    <row r="19" spans="1:2" x14ac:dyDescent="0.25">
      <c r="A19" s="41" t="s">
        <v>157</v>
      </c>
      <c r="B19" s="29">
        <v>50115</v>
      </c>
    </row>
    <row r="20" spans="1:2" x14ac:dyDescent="0.25">
      <c r="A20" s="41" t="s">
        <v>158</v>
      </c>
      <c r="B20" s="29">
        <v>19090</v>
      </c>
    </row>
    <row r="21" spans="1:2" x14ac:dyDescent="0.25">
      <c r="A21" s="41" t="s">
        <v>159</v>
      </c>
      <c r="B21" s="29">
        <v>42147</v>
      </c>
    </row>
  </sheetData>
  <mergeCells count="1">
    <mergeCell ref="M5:P11"/>
  </mergeCells>
  <conditionalFormatting sqref="B2:B21">
    <cfRule type="cellIs" dxfId="9" priority="1" operator="lessThan">
      <formula>5000</formula>
    </cfRule>
    <cfRule type="cellIs" dxfId="8" priority="2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433F-9776-43E4-AED8-668AE26B0FC3}">
  <dimension ref="A1:R21"/>
  <sheetViews>
    <sheetView workbookViewId="0">
      <selection activeCell="O6" sqref="O6:R13"/>
    </sheetView>
  </sheetViews>
  <sheetFormatPr defaultRowHeight="15" x14ac:dyDescent="0.25"/>
  <sheetData>
    <row r="1" spans="1:18" ht="34.5" x14ac:dyDescent="0.25">
      <c r="A1" s="48" t="s">
        <v>68</v>
      </c>
      <c r="B1" s="48" t="s">
        <v>1</v>
      </c>
      <c r="C1" s="48" t="s">
        <v>161</v>
      </c>
    </row>
    <row r="2" spans="1:18" ht="17.25" x14ac:dyDescent="0.25">
      <c r="A2" s="41">
        <v>1</v>
      </c>
      <c r="B2" s="41" t="s">
        <v>113</v>
      </c>
      <c r="C2" s="24">
        <v>85</v>
      </c>
    </row>
    <row r="3" spans="1:18" ht="17.25" x14ac:dyDescent="0.25">
      <c r="A3" s="41">
        <v>2</v>
      </c>
      <c r="B3" s="41" t="s">
        <v>162</v>
      </c>
      <c r="C3" s="27">
        <v>72</v>
      </c>
    </row>
    <row r="4" spans="1:18" ht="17.25" x14ac:dyDescent="0.25">
      <c r="A4" s="41">
        <v>3</v>
      </c>
      <c r="B4" s="41" t="s">
        <v>163</v>
      </c>
      <c r="C4" s="24">
        <v>39</v>
      </c>
    </row>
    <row r="5" spans="1:18" ht="18" thickBot="1" x14ac:dyDescent="0.3">
      <c r="A5" s="41">
        <v>4</v>
      </c>
      <c r="B5" s="41" t="s">
        <v>164</v>
      </c>
      <c r="C5" s="27">
        <v>91</v>
      </c>
    </row>
    <row r="6" spans="1:18" ht="17.25" x14ac:dyDescent="0.25">
      <c r="A6" s="41">
        <v>5</v>
      </c>
      <c r="B6" s="41" t="s">
        <v>165</v>
      </c>
      <c r="C6" s="24">
        <v>28</v>
      </c>
      <c r="O6" s="95" t="s">
        <v>166</v>
      </c>
      <c r="P6" s="86"/>
      <c r="Q6" s="86"/>
      <c r="R6" s="87"/>
    </row>
    <row r="7" spans="1:18" x14ac:dyDescent="0.25">
      <c r="A7" s="41">
        <v>6</v>
      </c>
      <c r="B7" s="41" t="s">
        <v>113</v>
      </c>
      <c r="C7" s="29">
        <v>62</v>
      </c>
      <c r="O7" s="88"/>
      <c r="P7" s="89"/>
      <c r="Q7" s="89"/>
      <c r="R7" s="90"/>
    </row>
    <row r="8" spans="1:18" x14ac:dyDescent="0.25">
      <c r="A8" s="41">
        <v>7</v>
      </c>
      <c r="B8" s="41" t="s">
        <v>162</v>
      </c>
      <c r="C8" s="29">
        <v>12</v>
      </c>
      <c r="O8" s="88"/>
      <c r="P8" s="89"/>
      <c r="Q8" s="89"/>
      <c r="R8" s="90"/>
    </row>
    <row r="9" spans="1:18" x14ac:dyDescent="0.25">
      <c r="A9" s="41">
        <v>8</v>
      </c>
      <c r="B9" s="41" t="s">
        <v>163</v>
      </c>
      <c r="C9" s="29">
        <v>71</v>
      </c>
      <c r="O9" s="88"/>
      <c r="P9" s="89"/>
      <c r="Q9" s="89"/>
      <c r="R9" s="90"/>
    </row>
    <row r="10" spans="1:18" x14ac:dyDescent="0.25">
      <c r="A10" s="41">
        <v>9</v>
      </c>
      <c r="B10" s="41" t="s">
        <v>164</v>
      </c>
      <c r="C10" s="29">
        <v>27</v>
      </c>
      <c r="O10" s="88"/>
      <c r="P10" s="89"/>
      <c r="Q10" s="89"/>
      <c r="R10" s="90"/>
    </row>
    <row r="11" spans="1:18" x14ac:dyDescent="0.25">
      <c r="A11" s="41">
        <v>10</v>
      </c>
      <c r="B11" s="41" t="s">
        <v>165</v>
      </c>
      <c r="C11" s="29">
        <v>26</v>
      </c>
      <c r="O11" s="88"/>
      <c r="P11" s="89"/>
      <c r="Q11" s="89"/>
      <c r="R11" s="90"/>
    </row>
    <row r="12" spans="1:18" x14ac:dyDescent="0.25">
      <c r="A12" s="41">
        <v>11</v>
      </c>
      <c r="B12" s="41" t="s">
        <v>113</v>
      </c>
      <c r="C12" s="29">
        <v>8</v>
      </c>
      <c r="O12" s="88"/>
      <c r="P12" s="89"/>
      <c r="Q12" s="89"/>
      <c r="R12" s="90"/>
    </row>
    <row r="13" spans="1:18" ht="15.75" thickBot="1" x14ac:dyDescent="0.3">
      <c r="A13" s="41">
        <v>12</v>
      </c>
      <c r="B13" s="41" t="s">
        <v>162</v>
      </c>
      <c r="C13" s="29">
        <v>12</v>
      </c>
      <c r="O13" s="91"/>
      <c r="P13" s="92"/>
      <c r="Q13" s="92"/>
      <c r="R13" s="93"/>
    </row>
    <row r="14" spans="1:18" x14ac:dyDescent="0.25">
      <c r="A14" s="41">
        <v>13</v>
      </c>
      <c r="B14" s="41" t="s">
        <v>163</v>
      </c>
      <c r="C14" s="29">
        <v>79</v>
      </c>
    </row>
    <row r="15" spans="1:18" x14ac:dyDescent="0.25">
      <c r="A15" s="41">
        <v>14</v>
      </c>
      <c r="B15" s="41" t="s">
        <v>164</v>
      </c>
      <c r="C15" s="29">
        <v>4</v>
      </c>
    </row>
    <row r="16" spans="1:18" x14ac:dyDescent="0.25">
      <c r="A16" s="41">
        <v>15</v>
      </c>
      <c r="B16" s="41" t="s">
        <v>165</v>
      </c>
      <c r="C16" s="29">
        <v>90</v>
      </c>
    </row>
    <row r="17" spans="1:3" x14ac:dyDescent="0.25">
      <c r="A17" s="41">
        <v>16</v>
      </c>
      <c r="B17" s="41" t="s">
        <v>113</v>
      </c>
      <c r="C17" s="29">
        <v>33</v>
      </c>
    </row>
    <row r="18" spans="1:3" x14ac:dyDescent="0.25">
      <c r="A18" s="41">
        <v>17</v>
      </c>
      <c r="B18" s="41" t="s">
        <v>162</v>
      </c>
      <c r="C18" s="29">
        <v>23</v>
      </c>
    </row>
    <row r="19" spans="1:3" x14ac:dyDescent="0.25">
      <c r="A19" s="41">
        <v>18</v>
      </c>
      <c r="B19" s="41" t="s">
        <v>163</v>
      </c>
      <c r="C19" s="29">
        <v>73</v>
      </c>
    </row>
    <row r="20" spans="1:3" x14ac:dyDescent="0.25">
      <c r="A20" s="41">
        <v>19</v>
      </c>
      <c r="B20" s="41" t="s">
        <v>164</v>
      </c>
      <c r="C20" s="29">
        <v>34</v>
      </c>
    </row>
    <row r="21" spans="1:3" x14ac:dyDescent="0.25">
      <c r="A21" s="41">
        <v>20</v>
      </c>
      <c r="B21" s="41" t="s">
        <v>165</v>
      </c>
      <c r="C21" s="29">
        <v>26</v>
      </c>
    </row>
  </sheetData>
  <mergeCells count="1">
    <mergeCell ref="O6:R13"/>
  </mergeCells>
  <conditionalFormatting sqref="C2:C21">
    <cfRule type="cellIs" dxfId="7" priority="1" operator="lessThan">
      <formula>40</formula>
    </cfRule>
    <cfRule type="cellIs" dxfId="6" priority="2" operator="greaterThanOrEqual">
      <formula>75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A905-5878-4175-AE3A-00108D7BADA0}">
  <dimension ref="A1:Q21"/>
  <sheetViews>
    <sheetView workbookViewId="0">
      <selection activeCell="N8" sqref="N8:Q15"/>
    </sheetView>
  </sheetViews>
  <sheetFormatPr defaultRowHeight="15" x14ac:dyDescent="0.25"/>
  <cols>
    <col min="1" max="1" width="12.28515625" customWidth="1"/>
  </cols>
  <sheetData>
    <row r="1" spans="1:17" ht="51.75" x14ac:dyDescent="0.25">
      <c r="A1" s="48" t="s">
        <v>108</v>
      </c>
      <c r="B1" s="48" t="s">
        <v>3</v>
      </c>
    </row>
    <row r="2" spans="1:17" ht="17.25" x14ac:dyDescent="0.25">
      <c r="A2" s="41" t="s">
        <v>167</v>
      </c>
      <c r="B2" s="50">
        <v>28000</v>
      </c>
    </row>
    <row r="3" spans="1:17" ht="17.25" x14ac:dyDescent="0.25">
      <c r="A3" s="41" t="s">
        <v>168</v>
      </c>
      <c r="B3" s="50">
        <v>34000</v>
      </c>
      <c r="D3" s="50"/>
    </row>
    <row r="4" spans="1:17" ht="17.25" x14ac:dyDescent="0.25">
      <c r="A4" s="41" t="s">
        <v>169</v>
      </c>
      <c r="B4" s="50">
        <v>51000</v>
      </c>
    </row>
    <row r="5" spans="1:17" ht="17.25" x14ac:dyDescent="0.25">
      <c r="A5" s="41" t="s">
        <v>170</v>
      </c>
      <c r="B5" s="50">
        <v>47000</v>
      </c>
    </row>
    <row r="6" spans="1:17" ht="17.25" x14ac:dyDescent="0.25">
      <c r="A6" s="41" t="s">
        <v>171</v>
      </c>
      <c r="B6" s="50">
        <v>29000</v>
      </c>
    </row>
    <row r="7" spans="1:17" ht="18" thickBot="1" x14ac:dyDescent="0.3">
      <c r="A7" s="41" t="s">
        <v>167</v>
      </c>
      <c r="B7" s="50">
        <v>44278</v>
      </c>
    </row>
    <row r="8" spans="1:17" ht="17.25" x14ac:dyDescent="0.25">
      <c r="A8" s="41" t="s">
        <v>168</v>
      </c>
      <c r="B8" s="50">
        <v>36604</v>
      </c>
      <c r="N8" s="94" t="s">
        <v>172</v>
      </c>
      <c r="O8" s="86"/>
      <c r="P8" s="86"/>
      <c r="Q8" s="87"/>
    </row>
    <row r="9" spans="1:17" ht="17.25" x14ac:dyDescent="0.25">
      <c r="A9" s="41" t="s">
        <v>169</v>
      </c>
      <c r="B9" s="50">
        <v>56107</v>
      </c>
      <c r="N9" s="88"/>
      <c r="O9" s="89"/>
      <c r="P9" s="89"/>
      <c r="Q9" s="90"/>
    </row>
    <row r="10" spans="1:17" ht="17.25" x14ac:dyDescent="0.25">
      <c r="A10" s="41" t="s">
        <v>170</v>
      </c>
      <c r="B10" s="50">
        <v>57541</v>
      </c>
      <c r="N10" s="88"/>
      <c r="O10" s="89"/>
      <c r="P10" s="89"/>
      <c r="Q10" s="90"/>
    </row>
    <row r="11" spans="1:17" ht="17.25" x14ac:dyDescent="0.25">
      <c r="A11" s="41" t="s">
        <v>171</v>
      </c>
      <c r="B11" s="50">
        <v>45225</v>
      </c>
      <c r="N11" s="88"/>
      <c r="O11" s="89"/>
      <c r="P11" s="89"/>
      <c r="Q11" s="90"/>
    </row>
    <row r="12" spans="1:17" ht="17.25" x14ac:dyDescent="0.25">
      <c r="A12" s="41" t="s">
        <v>167</v>
      </c>
      <c r="B12" s="50">
        <v>35505</v>
      </c>
      <c r="N12" s="88"/>
      <c r="O12" s="89"/>
      <c r="P12" s="89"/>
      <c r="Q12" s="90"/>
    </row>
    <row r="13" spans="1:17" ht="17.25" x14ac:dyDescent="0.25">
      <c r="A13" s="41" t="s">
        <v>168</v>
      </c>
      <c r="B13" s="50">
        <v>28886</v>
      </c>
      <c r="N13" s="88"/>
      <c r="O13" s="89"/>
      <c r="P13" s="89"/>
      <c r="Q13" s="90"/>
    </row>
    <row r="14" spans="1:17" ht="17.25" x14ac:dyDescent="0.25">
      <c r="A14" s="41" t="s">
        <v>169</v>
      </c>
      <c r="B14" s="50">
        <v>35147</v>
      </c>
      <c r="N14" s="88"/>
      <c r="O14" s="89"/>
      <c r="P14" s="89"/>
      <c r="Q14" s="90"/>
    </row>
    <row r="15" spans="1:17" ht="18" thickBot="1" x14ac:dyDescent="0.3">
      <c r="A15" s="41" t="s">
        <v>170</v>
      </c>
      <c r="B15" s="50">
        <v>44268</v>
      </c>
      <c r="N15" s="91"/>
      <c r="O15" s="92"/>
      <c r="P15" s="92"/>
      <c r="Q15" s="93"/>
    </row>
    <row r="16" spans="1:17" ht="17.25" x14ac:dyDescent="0.25">
      <c r="A16" s="41" t="s">
        <v>171</v>
      </c>
      <c r="B16" s="50">
        <v>53220</v>
      </c>
    </row>
    <row r="17" spans="1:2" ht="17.25" x14ac:dyDescent="0.25">
      <c r="A17" s="41" t="s">
        <v>167</v>
      </c>
      <c r="B17" s="50">
        <v>37180</v>
      </c>
    </row>
    <row r="18" spans="1:2" ht="17.25" x14ac:dyDescent="0.25">
      <c r="A18" s="41" t="s">
        <v>168</v>
      </c>
      <c r="B18" s="50">
        <v>22599</v>
      </c>
    </row>
    <row r="19" spans="1:2" ht="17.25" x14ac:dyDescent="0.25">
      <c r="A19" s="41" t="s">
        <v>169</v>
      </c>
      <c r="B19" s="50">
        <v>36648</v>
      </c>
    </row>
    <row r="20" spans="1:2" ht="17.25" x14ac:dyDescent="0.25">
      <c r="A20" s="41" t="s">
        <v>170</v>
      </c>
      <c r="B20" s="50">
        <v>51541</v>
      </c>
    </row>
    <row r="21" spans="1:2" ht="17.25" x14ac:dyDescent="0.25">
      <c r="A21" s="41" t="s">
        <v>171</v>
      </c>
      <c r="B21" s="50">
        <v>25846</v>
      </c>
    </row>
  </sheetData>
  <mergeCells count="1">
    <mergeCell ref="N8:Q15"/>
  </mergeCells>
  <conditionalFormatting sqref="B2:B21">
    <cfRule type="cellIs" dxfId="5" priority="4" operator="lessThan">
      <formula>30000</formula>
    </cfRule>
    <cfRule type="cellIs" dxfId="4" priority="5" operator="between">
      <formula>30000</formula>
      <formula>49999</formula>
    </cfRule>
    <cfRule type="cellIs" dxfId="3" priority="6" operator="greaterThanOrEqual">
      <formula>50000</formula>
    </cfRule>
  </conditionalFormatting>
  <conditionalFormatting sqref="D3">
    <cfRule type="cellIs" dxfId="2" priority="1" operator="lessThan">
      <formula>30000</formula>
    </cfRule>
    <cfRule type="cellIs" dxfId="1" priority="2" operator="between">
      <formula>30000</formula>
      <formula>49999</formula>
    </cfRule>
    <cfRule type="cellIs" dxfId="0" priority="3" operator="greaterThanOrEqual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2026-01-24T14:44:35Z</dcterms:created>
  <dcterms:modified xsi:type="dcterms:W3CDTF">2026-01-25T05:40:27Z</dcterms:modified>
</cp:coreProperties>
</file>