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1\Desktop\JIYA GITHUB\DATA-ANALYTICS\PRACTICAL_TASKS_EXCEL\"/>
    </mc:Choice>
  </mc:AlternateContent>
  <xr:revisionPtr revIDLastSave="0" documentId="13_ncr:1_{543613CB-27D5-4338-9891-0CDF85CAFA25}" xr6:coauthVersionLast="47" xr6:coauthVersionMax="47" xr10:uidLastSave="{00000000-0000-0000-0000-000000000000}"/>
  <bookViews>
    <workbookView xWindow="-120" yWindow="-120" windowWidth="29040" windowHeight="15720" activeTab="8" xr2:uid="{DB098DFD-AE25-4C21-BC30-7F9A9D2BAA9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" i="10" l="1"/>
  <c r="D4" i="10"/>
  <c r="D5" i="10"/>
  <c r="D2" i="10"/>
  <c r="C3" i="9"/>
  <c r="C4" i="9"/>
  <c r="C5" i="9"/>
  <c r="C2" i="9"/>
  <c r="C7" i="10"/>
  <c r="C8" i="10"/>
  <c r="C9" i="10"/>
  <c r="C10" i="10"/>
  <c r="C11" i="10"/>
  <c r="C12" i="10"/>
  <c r="C13" i="10"/>
  <c r="C14" i="10"/>
  <c r="C15" i="10"/>
  <c r="C16" i="10"/>
  <c r="C6" i="10"/>
  <c r="D6" i="10" s="1"/>
  <c r="B7" i="10"/>
  <c r="B8" i="10"/>
  <c r="B9" i="10"/>
  <c r="B10" i="10"/>
  <c r="B11" i="10"/>
  <c r="B12" i="10"/>
  <c r="B13" i="10"/>
  <c r="B14" i="10"/>
  <c r="B15" i="10"/>
  <c r="B16" i="10"/>
  <c r="B6" i="10"/>
  <c r="A7" i="9"/>
  <c r="A8" i="9"/>
  <c r="A9" i="9"/>
  <c r="A10" i="9"/>
  <c r="A11" i="9"/>
  <c r="A12" i="9"/>
  <c r="A13" i="9"/>
  <c r="A14" i="9"/>
  <c r="A15" i="9"/>
  <c r="A16" i="9"/>
  <c r="A6" i="9"/>
  <c r="B7" i="9"/>
  <c r="B8" i="9"/>
  <c r="B9" i="9"/>
  <c r="B10" i="9"/>
  <c r="B11" i="9"/>
  <c r="B12" i="9"/>
  <c r="B13" i="9"/>
  <c r="B14" i="9"/>
  <c r="B15" i="9"/>
  <c r="B16" i="9"/>
  <c r="B6" i="9"/>
  <c r="C16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2" i="8"/>
  <c r="D3" i="7"/>
  <c r="D4" i="7"/>
  <c r="D5" i="7"/>
  <c r="D2" i="7"/>
  <c r="C7" i="7"/>
  <c r="C8" i="7"/>
  <c r="C9" i="7"/>
  <c r="C10" i="7"/>
  <c r="C11" i="7"/>
  <c r="C12" i="7"/>
  <c r="C13" i="7"/>
  <c r="C14" i="7"/>
  <c r="C15" i="7"/>
  <c r="C16" i="7"/>
  <c r="C6" i="7"/>
  <c r="B7" i="7"/>
  <c r="B8" i="7"/>
  <c r="B9" i="7"/>
  <c r="B10" i="7"/>
  <c r="B11" i="7"/>
  <c r="B12" i="7"/>
  <c r="B13" i="7"/>
  <c r="B14" i="7"/>
  <c r="B15" i="7"/>
  <c r="B16" i="7"/>
  <c r="B6" i="7"/>
  <c r="D3" i="6"/>
  <c r="D4" i="6"/>
  <c r="D5" i="6"/>
  <c r="D17" i="6"/>
  <c r="D2" i="6"/>
  <c r="B7" i="6"/>
  <c r="D7" i="6" s="1"/>
  <c r="B8" i="6"/>
  <c r="D8" i="6" s="1"/>
  <c r="B9" i="6"/>
  <c r="D9" i="6" s="1"/>
  <c r="B10" i="6"/>
  <c r="D10" i="6" s="1"/>
  <c r="B11" i="6"/>
  <c r="D11" i="6" s="1"/>
  <c r="B12" i="6"/>
  <c r="D12" i="6" s="1"/>
  <c r="B13" i="6"/>
  <c r="D13" i="6" s="1"/>
  <c r="B14" i="6"/>
  <c r="D14" i="6" s="1"/>
  <c r="B15" i="6"/>
  <c r="D15" i="6" s="1"/>
  <c r="B16" i="6"/>
  <c r="D16" i="6" s="1"/>
  <c r="B6" i="6"/>
  <c r="D6" i="6" s="1"/>
  <c r="D3" i="5"/>
  <c r="D4" i="5"/>
  <c r="D5" i="5"/>
  <c r="D6" i="5"/>
  <c r="D7" i="5"/>
  <c r="D8" i="5"/>
  <c r="D9" i="5"/>
  <c r="D10" i="5"/>
  <c r="D11" i="5"/>
  <c r="D12" i="5"/>
  <c r="D13" i="5"/>
  <c r="D14" i="5"/>
  <c r="D15" i="5"/>
  <c r="D2" i="5"/>
  <c r="D3" i="4"/>
  <c r="D4" i="4"/>
  <c r="D5" i="4"/>
  <c r="D2" i="4"/>
  <c r="B7" i="4"/>
  <c r="B8" i="4"/>
  <c r="B9" i="4"/>
  <c r="B10" i="4"/>
  <c r="B11" i="4"/>
  <c r="B12" i="4"/>
  <c r="B13" i="4"/>
  <c r="B14" i="4"/>
  <c r="B15" i="4"/>
  <c r="B16" i="4"/>
  <c r="B6" i="4"/>
  <c r="C7" i="4"/>
  <c r="C8" i="4"/>
  <c r="C9" i="4"/>
  <c r="C10" i="4"/>
  <c r="C11" i="4"/>
  <c r="C12" i="4"/>
  <c r="C13" i="4"/>
  <c r="C14" i="4"/>
  <c r="C15" i="4"/>
  <c r="C16" i="4"/>
  <c r="C6" i="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2" i="3"/>
  <c r="C3" i="2"/>
  <c r="C4" i="2"/>
  <c r="C5" i="2"/>
  <c r="C2" i="2"/>
  <c r="B7" i="2"/>
  <c r="C7" i="2" s="1"/>
  <c r="B8" i="2"/>
  <c r="C8" i="2" s="1"/>
  <c r="B9" i="2"/>
  <c r="C9" i="2" s="1"/>
  <c r="B10" i="2"/>
  <c r="C10" i="2" s="1"/>
  <c r="B11" i="2"/>
  <c r="C11" i="2" s="1"/>
  <c r="B12" i="2"/>
  <c r="C12" i="2" s="1"/>
  <c r="B13" i="2"/>
  <c r="C13" i="2" s="1"/>
  <c r="B14" i="2"/>
  <c r="C14" i="2" s="1"/>
  <c r="B15" i="2"/>
  <c r="C15" i="2" s="1"/>
  <c r="B16" i="2"/>
  <c r="C16" i="2" s="1"/>
  <c r="B6" i="2"/>
  <c r="C6" i="2" s="1"/>
  <c r="D3" i="1"/>
  <c r="D4" i="1"/>
  <c r="D5" i="1"/>
  <c r="D6" i="1"/>
  <c r="D2" i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7" i="1"/>
  <c r="D7" i="1" s="1"/>
  <c r="D10" i="10" l="1"/>
  <c r="D9" i="10"/>
  <c r="D8" i="10"/>
  <c r="D7" i="10"/>
  <c r="D14" i="10"/>
  <c r="D13" i="10"/>
  <c r="D12" i="10"/>
  <c r="D11" i="10"/>
  <c r="D16" i="10"/>
  <c r="D15" i="10"/>
  <c r="C6" i="9"/>
  <c r="C16" i="9"/>
  <c r="C15" i="9"/>
  <c r="C14" i="9"/>
  <c r="C13" i="9"/>
  <c r="C12" i="9"/>
  <c r="C11" i="9"/>
  <c r="C10" i="9"/>
  <c r="C9" i="9"/>
  <c r="C8" i="9"/>
  <c r="C7" i="9"/>
  <c r="D10" i="7"/>
  <c r="D9" i="7"/>
  <c r="D8" i="7"/>
  <c r="D11" i="7"/>
  <c r="D7" i="7"/>
  <c r="D6" i="7"/>
  <c r="D16" i="7"/>
  <c r="D15" i="7"/>
  <c r="D14" i="7"/>
  <c r="D13" i="7"/>
  <c r="D12" i="7"/>
  <c r="D6" i="4"/>
  <c r="D16" i="4"/>
  <c r="D15" i="4"/>
  <c r="D14" i="4"/>
  <c r="D13" i="4"/>
  <c r="D12" i="4"/>
  <c r="D11" i="4"/>
  <c r="D10" i="4"/>
  <c r="D9" i="4"/>
  <c r="D8" i="4"/>
  <c r="D7" i="4"/>
</calcChain>
</file>

<file path=xl/sharedStrings.xml><?xml version="1.0" encoding="utf-8"?>
<sst xmlns="http://schemas.openxmlformats.org/spreadsheetml/2006/main" count="209" uniqueCount="55">
  <si>
    <t>Roll No</t>
  </si>
  <si>
    <t>Student Name</t>
  </si>
  <si>
    <t>Marks</t>
  </si>
  <si>
    <t>Result</t>
  </si>
  <si>
    <t>Aman</t>
  </si>
  <si>
    <t>Bharti</t>
  </si>
  <si>
    <t>Rohan</t>
  </si>
  <si>
    <t>Deepa</t>
  </si>
  <si>
    <t>Farhan</t>
  </si>
  <si>
    <t xml:space="preserve">Task 1
If Marks ≥ 40 → Pass
Else → Fail
</t>
  </si>
  <si>
    <t>Employee Name</t>
  </si>
  <si>
    <t>Salary</t>
  </si>
  <si>
    <t>Bonus Status</t>
  </si>
  <si>
    <t>Rohit</t>
  </si>
  <si>
    <t>Simran</t>
  </si>
  <si>
    <t>Vijay</t>
  </si>
  <si>
    <t>Nisha</t>
  </si>
  <si>
    <t xml:space="preserve">Task 2
Salary ≥ 40000 → Bonus
Else → No Bonus
</t>
  </si>
  <si>
    <t>Grade</t>
  </si>
  <si>
    <t xml:space="preserve">Task 3
≥ 75 → A
≥ 60 → B
≥ 40 → C
&lt; 40 → Fail
</t>
  </si>
  <si>
    <t>Name</t>
  </si>
  <si>
    <t>Age</t>
  </si>
  <si>
    <t>Experience (Years)</t>
  </si>
  <si>
    <t>Eligible</t>
  </si>
  <si>
    <t xml:space="preserve">Task
Age ≥ 21 AND Experience ≥ 1 → Eligible
</t>
  </si>
  <si>
    <t>Attendance %</t>
  </si>
  <si>
    <t>Assignment Submitted</t>
  </si>
  <si>
    <t>Yes</t>
  </si>
  <si>
    <t>No</t>
  </si>
  <si>
    <t xml:space="preserve">Task
Attendance ≥ 75 AND Assignment = Yes
</t>
  </si>
  <si>
    <t>Customer Name</t>
  </si>
  <si>
    <t>Purchase Amount</t>
  </si>
  <si>
    <t>Membership</t>
  </si>
  <si>
    <t>Discount</t>
  </si>
  <si>
    <t>Aakash</t>
  </si>
  <si>
    <t>Bhavna</t>
  </si>
  <si>
    <t>Divya</t>
  </si>
  <si>
    <t>Task
Purchase ≥ 10000 OR Membership = Yes</t>
  </si>
  <si>
    <t>Applicant</t>
  </si>
  <si>
    <t>CIBIL Score</t>
  </si>
  <si>
    <t>Loan Status</t>
  </si>
  <si>
    <t xml:space="preserve">Task 7
Salary ≥ 40000 OR CIBIL ≥ 700
</t>
  </si>
  <si>
    <t>Present</t>
  </si>
  <si>
    <t>Status</t>
  </si>
  <si>
    <t>Task 8
If NOT Present → Absent
Else → Present</t>
  </si>
  <si>
    <t>Number 1</t>
  </si>
  <si>
    <t>Number 2</t>
  </si>
  <si>
    <t xml:space="preserve">Task 9
Divide Number 1 by Number 2
If error → show "Invalid"
</t>
  </si>
  <si>
    <t>Targets Achieved</t>
  </si>
  <si>
    <t>Performance</t>
  </si>
  <si>
    <t>Raj</t>
  </si>
  <si>
    <t>Sunita</t>
  </si>
  <si>
    <t>Manoj</t>
  </si>
  <si>
    <t>Kavita</t>
  </si>
  <si>
    <t>Task
Attendance ≥ 90 AND Targets ≥ 40 → Excellent
Attendance ≥ 80 → Good
Else → Needs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</si>
</sst>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0" fillId="0" borderId="0" xfId="0" applyAlignment="1">
      <alignment horizontal="center"/>
    </xf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8182B-1EE1-4323-A7FC-AD5BB4E19C5F}">
  <dimension ref="A1:S16"/>
  <sheetViews>
    <sheetView workbookViewId="0">
      <selection activeCell="P13" sqref="P13"/>
    </sheetView>
  </sheetViews>
  <sheetFormatPr defaultRowHeight="15" x14ac:dyDescent="0.25"/>
  <sheetData>
    <row r="1" spans="1:19" ht="52.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19" ht="18" thickBot="1" x14ac:dyDescent="0.3">
      <c r="A2" s="2">
        <v>1</v>
      </c>
      <c r="B2" s="2" t="s">
        <v>4</v>
      </c>
      <c r="C2" s="2">
        <v>78</v>
      </c>
      <c r="D2" s="2" t="str">
        <f>IF(C2&gt;=40,"Pass","Fail")</f>
        <v>Pass</v>
      </c>
    </row>
    <row r="3" spans="1:19" ht="18" thickBot="1" x14ac:dyDescent="0.3">
      <c r="A3" s="3">
        <v>2</v>
      </c>
      <c r="B3" s="3" t="s">
        <v>5</v>
      </c>
      <c r="C3" s="3">
        <v>35</v>
      </c>
      <c r="D3" s="2" t="str">
        <f t="shared" ref="D3:D15" si="0">IF(C3&gt;=40,"Pass","Fail")</f>
        <v>Fail</v>
      </c>
    </row>
    <row r="4" spans="1:19" ht="18" thickBot="1" x14ac:dyDescent="0.3">
      <c r="A4" s="2">
        <v>3</v>
      </c>
      <c r="B4" s="2" t="s">
        <v>6</v>
      </c>
      <c r="C4" s="2">
        <v>62</v>
      </c>
      <c r="D4" s="2" t="str">
        <f t="shared" si="0"/>
        <v>Pass</v>
      </c>
      <c r="P4" s="10" t="s">
        <v>9</v>
      </c>
      <c r="Q4" s="11"/>
      <c r="R4" s="11"/>
      <c r="S4" s="11"/>
    </row>
    <row r="5" spans="1:19" ht="18" thickBot="1" x14ac:dyDescent="0.3">
      <c r="A5" s="3">
        <v>4</v>
      </c>
      <c r="B5" s="3" t="s">
        <v>7</v>
      </c>
      <c r="C5" s="3">
        <v>40</v>
      </c>
      <c r="D5" s="2" t="str">
        <f t="shared" si="0"/>
        <v>Pass</v>
      </c>
      <c r="P5" s="11"/>
      <c r="Q5" s="11"/>
      <c r="R5" s="11"/>
      <c r="S5" s="11"/>
    </row>
    <row r="6" spans="1:19" ht="35.25" thickBot="1" x14ac:dyDescent="0.3">
      <c r="A6" s="2">
        <v>5</v>
      </c>
      <c r="B6" s="2" t="s">
        <v>8</v>
      </c>
      <c r="C6" s="2">
        <v>28</v>
      </c>
      <c r="D6" s="2" t="str">
        <f t="shared" si="0"/>
        <v>Fail</v>
      </c>
      <c r="P6" s="11"/>
      <c r="Q6" s="11"/>
      <c r="R6" s="11"/>
      <c r="S6" s="11"/>
    </row>
    <row r="7" spans="1:19" ht="18" thickBot="1" x14ac:dyDescent="0.3">
      <c r="A7" s="2">
        <v>6</v>
      </c>
      <c r="B7" s="2" t="s">
        <v>4</v>
      </c>
      <c r="C7">
        <f ca="1">RANDBETWEEN(0,100)</f>
        <v>13</v>
      </c>
      <c r="D7" s="2" t="str">
        <f t="shared" ca="1" si="0"/>
        <v>Fail</v>
      </c>
      <c r="P7" s="11"/>
      <c r="Q7" s="11"/>
      <c r="R7" s="11"/>
      <c r="S7" s="11"/>
    </row>
    <row r="8" spans="1:19" ht="18" thickBot="1" x14ac:dyDescent="0.3">
      <c r="A8" s="3">
        <v>7</v>
      </c>
      <c r="B8" s="3" t="s">
        <v>5</v>
      </c>
      <c r="C8">
        <f t="shared" ref="C8:C16" ca="1" si="1">RANDBETWEEN(0,100)</f>
        <v>1</v>
      </c>
      <c r="D8" s="2" t="str">
        <f t="shared" ca="1" si="0"/>
        <v>Fail</v>
      </c>
      <c r="P8" s="11"/>
      <c r="Q8" s="11"/>
      <c r="R8" s="11"/>
      <c r="S8" s="11"/>
    </row>
    <row r="9" spans="1:19" ht="18" thickBot="1" x14ac:dyDescent="0.3">
      <c r="A9" s="2">
        <v>8</v>
      </c>
      <c r="B9" s="2" t="s">
        <v>6</v>
      </c>
      <c r="C9">
        <f t="shared" ca="1" si="1"/>
        <v>91</v>
      </c>
      <c r="D9" s="2" t="str">
        <f t="shared" ca="1" si="0"/>
        <v>Pass</v>
      </c>
      <c r="P9" s="11"/>
      <c r="Q9" s="11"/>
      <c r="R9" s="11"/>
      <c r="S9" s="11"/>
    </row>
    <row r="10" spans="1:19" ht="18" thickBot="1" x14ac:dyDescent="0.3">
      <c r="A10" s="3">
        <v>9</v>
      </c>
      <c r="B10" s="3" t="s">
        <v>7</v>
      </c>
      <c r="C10">
        <f t="shared" ca="1" si="1"/>
        <v>37</v>
      </c>
      <c r="D10" s="2" t="str">
        <f t="shared" ca="1" si="0"/>
        <v>Fail</v>
      </c>
      <c r="P10" s="11"/>
      <c r="Q10" s="11"/>
      <c r="R10" s="11"/>
      <c r="S10" s="11"/>
    </row>
    <row r="11" spans="1:19" ht="35.25" thickBot="1" x14ac:dyDescent="0.3">
      <c r="A11" s="2">
        <v>10</v>
      </c>
      <c r="B11" s="2" t="s">
        <v>8</v>
      </c>
      <c r="C11">
        <f t="shared" ca="1" si="1"/>
        <v>8</v>
      </c>
      <c r="D11" s="2" t="str">
        <f t="shared" ca="1" si="0"/>
        <v>Fail</v>
      </c>
    </row>
    <row r="12" spans="1:19" ht="18" thickBot="1" x14ac:dyDescent="0.3">
      <c r="A12" s="2">
        <v>11</v>
      </c>
      <c r="B12" s="2" t="s">
        <v>4</v>
      </c>
      <c r="C12">
        <f t="shared" ca="1" si="1"/>
        <v>95</v>
      </c>
      <c r="D12" s="2" t="str">
        <f t="shared" ca="1" si="0"/>
        <v>Pass</v>
      </c>
    </row>
    <row r="13" spans="1:19" ht="18" thickBot="1" x14ac:dyDescent="0.3">
      <c r="A13" s="3">
        <v>12</v>
      </c>
      <c r="B13" s="3" t="s">
        <v>5</v>
      </c>
      <c r="C13">
        <f t="shared" ca="1" si="1"/>
        <v>62</v>
      </c>
      <c r="D13" s="2" t="str">
        <f t="shared" ca="1" si="0"/>
        <v>Pass</v>
      </c>
    </row>
    <row r="14" spans="1:19" ht="18" thickBot="1" x14ac:dyDescent="0.3">
      <c r="A14" s="2">
        <v>13</v>
      </c>
      <c r="B14" s="2" t="s">
        <v>6</v>
      </c>
      <c r="C14">
        <f t="shared" ca="1" si="1"/>
        <v>93</v>
      </c>
      <c r="D14" s="2" t="str">
        <f t="shared" ca="1" si="0"/>
        <v>Pass</v>
      </c>
    </row>
    <row r="15" spans="1:19" ht="18" thickBot="1" x14ac:dyDescent="0.3">
      <c r="A15" s="3">
        <v>14</v>
      </c>
      <c r="B15" s="3" t="s">
        <v>7</v>
      </c>
      <c r="C15">
        <f t="shared" ca="1" si="1"/>
        <v>11</v>
      </c>
      <c r="D15" s="2" t="str">
        <f t="shared" ca="1" si="0"/>
        <v>Fail</v>
      </c>
    </row>
    <row r="16" spans="1:19" ht="35.25" thickBot="1" x14ac:dyDescent="0.3">
      <c r="A16" s="2">
        <v>15</v>
      </c>
      <c r="B16" s="2" t="s">
        <v>8</v>
      </c>
      <c r="C16">
        <f t="shared" ca="1" si="1"/>
        <v>23</v>
      </c>
      <c r="D16" s="2" t="str">
        <f ca="1">IF(C16&gt;=40,"Pass","Fail")</f>
        <v>Fail</v>
      </c>
    </row>
  </sheetData>
  <mergeCells count="1">
    <mergeCell ref="P4:S1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5D8B-0549-42FF-8566-F587D8D26411}">
  <dimension ref="A1:S16"/>
  <sheetViews>
    <sheetView workbookViewId="0">
      <selection activeCell="J16" sqref="J16"/>
    </sheetView>
  </sheetViews>
  <sheetFormatPr defaultRowHeight="15" x14ac:dyDescent="0.25"/>
  <cols>
    <col min="1" max="1" width="31.42578125" customWidth="1"/>
    <col min="2" max="2" width="16.42578125" customWidth="1"/>
    <col min="3" max="3" width="24.42578125" customWidth="1"/>
  </cols>
  <sheetData>
    <row r="1" spans="1:19" ht="26.25" x14ac:dyDescent="0.4">
      <c r="A1" s="5" t="s">
        <v>10</v>
      </c>
      <c r="B1" s="5" t="s">
        <v>11</v>
      </c>
      <c r="C1" s="5" t="s">
        <v>12</v>
      </c>
    </row>
    <row r="2" spans="1:19" ht="26.25" x14ac:dyDescent="0.4">
      <c r="A2" s="5" t="s">
        <v>13</v>
      </c>
      <c r="B2" s="5">
        <v>28000</v>
      </c>
      <c r="C2" s="5" t="str">
        <f>IF(B2&gt;=40000,"Bonus","No Bonus")</f>
        <v>No Bonus</v>
      </c>
    </row>
    <row r="3" spans="1:19" ht="26.25" x14ac:dyDescent="0.4">
      <c r="A3" s="5" t="s">
        <v>14</v>
      </c>
      <c r="B3" s="5">
        <v>45000</v>
      </c>
      <c r="C3" s="5" t="str">
        <f t="shared" ref="C3:C16" si="0">IF(B3&gt;=40000,"Bonus","No Bonus")</f>
        <v>Bonus</v>
      </c>
      <c r="O3" s="10" t="s">
        <v>17</v>
      </c>
      <c r="P3" s="11"/>
      <c r="Q3" s="11"/>
      <c r="R3" s="11"/>
      <c r="S3" s="11"/>
    </row>
    <row r="4" spans="1:19" ht="26.25" x14ac:dyDescent="0.4">
      <c r="A4" s="5" t="s">
        <v>15</v>
      </c>
      <c r="B4" s="5">
        <v>52000</v>
      </c>
      <c r="C4" s="5" t="str">
        <f t="shared" si="0"/>
        <v>Bonus</v>
      </c>
      <c r="O4" s="11"/>
      <c r="P4" s="11"/>
      <c r="Q4" s="11"/>
      <c r="R4" s="11"/>
      <c r="S4" s="11"/>
    </row>
    <row r="5" spans="1:19" ht="26.25" x14ac:dyDescent="0.4">
      <c r="A5" s="5" t="s">
        <v>16</v>
      </c>
      <c r="B5" s="5">
        <v>30000</v>
      </c>
      <c r="C5" s="5" t="str">
        <f t="shared" si="0"/>
        <v>No Bonus</v>
      </c>
      <c r="O5" s="11"/>
      <c r="P5" s="11"/>
      <c r="Q5" s="11"/>
      <c r="R5" s="11"/>
      <c r="S5" s="11"/>
    </row>
    <row r="6" spans="1:19" ht="26.25" x14ac:dyDescent="0.4">
      <c r="A6" s="5" t="s">
        <v>13</v>
      </c>
      <c r="B6" s="5">
        <f ca="1">RANDBETWEEN(20000,60000)</f>
        <v>28406</v>
      </c>
      <c r="C6" s="5" t="str">
        <f t="shared" ca="1" si="0"/>
        <v>No Bonus</v>
      </c>
      <c r="O6" s="11"/>
      <c r="P6" s="11"/>
      <c r="Q6" s="11"/>
      <c r="R6" s="11"/>
      <c r="S6" s="11"/>
    </row>
    <row r="7" spans="1:19" ht="26.25" x14ac:dyDescent="0.4">
      <c r="A7" s="5" t="s">
        <v>14</v>
      </c>
      <c r="B7" s="5">
        <f t="shared" ref="B7:B16" ca="1" si="1">RANDBETWEEN(20000,60000)</f>
        <v>41076</v>
      </c>
      <c r="C7" s="5" t="str">
        <f t="shared" ca="1" si="0"/>
        <v>Bonus</v>
      </c>
      <c r="O7" s="11"/>
      <c r="P7" s="11"/>
      <c r="Q7" s="11"/>
      <c r="R7" s="11"/>
      <c r="S7" s="11"/>
    </row>
    <row r="8" spans="1:19" ht="26.25" x14ac:dyDescent="0.4">
      <c r="A8" s="5" t="s">
        <v>15</v>
      </c>
      <c r="B8" s="5">
        <f t="shared" ca="1" si="1"/>
        <v>47477</v>
      </c>
      <c r="C8" s="5" t="str">
        <f t="shared" ca="1" si="0"/>
        <v>Bonus</v>
      </c>
      <c r="O8" s="11"/>
      <c r="P8" s="11"/>
      <c r="Q8" s="11"/>
      <c r="R8" s="11"/>
      <c r="S8" s="11"/>
    </row>
    <row r="9" spans="1:19" ht="26.25" x14ac:dyDescent="0.4">
      <c r="A9" s="5" t="s">
        <v>16</v>
      </c>
      <c r="B9" s="5">
        <f t="shared" ca="1" si="1"/>
        <v>41687</v>
      </c>
      <c r="C9" s="5" t="str">
        <f t="shared" ca="1" si="0"/>
        <v>Bonus</v>
      </c>
    </row>
    <row r="10" spans="1:19" ht="26.25" x14ac:dyDescent="0.4">
      <c r="A10" s="5" t="s">
        <v>13</v>
      </c>
      <c r="B10" s="5">
        <f t="shared" ca="1" si="1"/>
        <v>42251</v>
      </c>
      <c r="C10" s="5" t="str">
        <f t="shared" ca="1" si="0"/>
        <v>Bonus</v>
      </c>
    </row>
    <row r="11" spans="1:19" ht="26.25" x14ac:dyDescent="0.4">
      <c r="A11" s="5" t="s">
        <v>14</v>
      </c>
      <c r="B11" s="5">
        <f t="shared" ca="1" si="1"/>
        <v>30621</v>
      </c>
      <c r="C11" s="5" t="str">
        <f t="shared" ca="1" si="0"/>
        <v>No Bonus</v>
      </c>
    </row>
    <row r="12" spans="1:19" ht="26.25" x14ac:dyDescent="0.4">
      <c r="A12" s="5" t="s">
        <v>15</v>
      </c>
      <c r="B12" s="5">
        <f t="shared" ca="1" si="1"/>
        <v>43775</v>
      </c>
      <c r="C12" s="5" t="str">
        <f t="shared" ca="1" si="0"/>
        <v>Bonus</v>
      </c>
    </row>
    <row r="13" spans="1:19" ht="26.25" x14ac:dyDescent="0.4">
      <c r="A13" s="5" t="s">
        <v>16</v>
      </c>
      <c r="B13" s="5">
        <f t="shared" ca="1" si="1"/>
        <v>45437</v>
      </c>
      <c r="C13" s="5" t="str">
        <f t="shared" ca="1" si="0"/>
        <v>Bonus</v>
      </c>
    </row>
    <row r="14" spans="1:19" ht="26.25" x14ac:dyDescent="0.4">
      <c r="A14" s="5" t="s">
        <v>13</v>
      </c>
      <c r="B14" s="5">
        <f t="shared" ca="1" si="1"/>
        <v>36811</v>
      </c>
      <c r="C14" s="5" t="str">
        <f t="shared" ca="1" si="0"/>
        <v>No Bonus</v>
      </c>
    </row>
    <row r="15" spans="1:19" ht="26.25" x14ac:dyDescent="0.4">
      <c r="A15" s="5" t="s">
        <v>14</v>
      </c>
      <c r="B15" s="5">
        <f t="shared" ca="1" si="1"/>
        <v>21092</v>
      </c>
      <c r="C15" s="5" t="str">
        <f t="shared" ca="1" si="0"/>
        <v>No Bonus</v>
      </c>
    </row>
    <row r="16" spans="1:19" ht="26.25" x14ac:dyDescent="0.4">
      <c r="A16" s="5" t="s">
        <v>15</v>
      </c>
      <c r="B16" s="5">
        <f t="shared" ca="1" si="1"/>
        <v>59280</v>
      </c>
      <c r="C16" s="5" t="str">
        <f t="shared" ca="1" si="0"/>
        <v>Bonus</v>
      </c>
    </row>
  </sheetData>
  <mergeCells count="1">
    <mergeCell ref="O3:S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F0BF6-365F-4102-86E1-10830E8E527E}">
  <dimension ref="A1:R16"/>
  <sheetViews>
    <sheetView workbookViewId="0">
      <selection activeCell="C2" sqref="C2:C16"/>
    </sheetView>
  </sheetViews>
  <sheetFormatPr defaultRowHeight="15" x14ac:dyDescent="0.25"/>
  <cols>
    <col min="1" max="1" width="16.7109375" customWidth="1"/>
    <col min="3" max="3" width="11.28515625" bestFit="1" customWidth="1"/>
  </cols>
  <sheetData>
    <row r="1" spans="1:18" ht="52.5" thickBot="1" x14ac:dyDescent="0.3">
      <c r="A1" s="1" t="s">
        <v>1</v>
      </c>
      <c r="B1" s="1" t="s">
        <v>2</v>
      </c>
      <c r="C1" s="1" t="s">
        <v>18</v>
      </c>
    </row>
    <row r="2" spans="1:18" ht="18" thickBot="1" x14ac:dyDescent="0.3">
      <c r="A2" s="2" t="s">
        <v>4</v>
      </c>
      <c r="B2" s="2">
        <v>82</v>
      </c>
      <c r="C2" s="2" t="str">
        <f>IF(B2&gt;=75,"A",IF(B2&gt;=60,"B",IF(B2&gt;=40,"C",IF(B2&lt;40,"Fail"))))</f>
        <v>A</v>
      </c>
    </row>
    <row r="3" spans="1:18" ht="18" thickBot="1" x14ac:dyDescent="0.3">
      <c r="A3" s="3" t="s">
        <v>5</v>
      </c>
      <c r="B3" s="3">
        <v>67</v>
      </c>
      <c r="C3" s="2" t="str">
        <f t="shared" ref="C3:C16" si="0">IF(B3&gt;=75,"A",IF(B3&gt;=60,"B",IF(B3&gt;=40,"C",IF(B3&lt;40,"Fail"))))</f>
        <v>B</v>
      </c>
    </row>
    <row r="4" spans="1:18" ht="18" thickBot="1" x14ac:dyDescent="0.3">
      <c r="A4" s="2" t="s">
        <v>6</v>
      </c>
      <c r="B4" s="2">
        <v>45</v>
      </c>
      <c r="C4" s="2" t="str">
        <f t="shared" si="0"/>
        <v>C</v>
      </c>
    </row>
    <row r="5" spans="1:18" ht="18" thickBot="1" x14ac:dyDescent="0.3">
      <c r="A5" s="3" t="s">
        <v>7</v>
      </c>
      <c r="B5" s="3">
        <v>33</v>
      </c>
      <c r="C5" s="2" t="str">
        <f t="shared" si="0"/>
        <v>Fail</v>
      </c>
      <c r="N5" s="10" t="s">
        <v>19</v>
      </c>
      <c r="O5" s="11"/>
      <c r="P5" s="11"/>
      <c r="Q5" s="11"/>
      <c r="R5" s="11"/>
    </row>
    <row r="6" spans="1:18" ht="18" thickBot="1" x14ac:dyDescent="0.3">
      <c r="A6" s="2" t="s">
        <v>8</v>
      </c>
      <c r="B6" s="2">
        <v>90</v>
      </c>
      <c r="C6" s="2" t="str">
        <f t="shared" si="0"/>
        <v>A</v>
      </c>
      <c r="N6" s="11"/>
      <c r="O6" s="11"/>
      <c r="P6" s="11"/>
      <c r="Q6" s="11"/>
      <c r="R6" s="11"/>
    </row>
    <row r="7" spans="1:18" ht="18" thickBot="1" x14ac:dyDescent="0.3">
      <c r="A7" s="2" t="s">
        <v>4</v>
      </c>
      <c r="B7" s="2">
        <v>58</v>
      </c>
      <c r="C7" s="2" t="str">
        <f t="shared" si="0"/>
        <v>C</v>
      </c>
      <c r="N7" s="11"/>
      <c r="O7" s="11"/>
      <c r="P7" s="11"/>
      <c r="Q7" s="11"/>
      <c r="R7" s="11"/>
    </row>
    <row r="8" spans="1:18" ht="18" thickBot="1" x14ac:dyDescent="0.3">
      <c r="A8" s="3" t="s">
        <v>5</v>
      </c>
      <c r="B8" s="3">
        <v>56.2</v>
      </c>
      <c r="C8" s="2" t="str">
        <f t="shared" si="0"/>
        <v>C</v>
      </c>
      <c r="N8" s="11"/>
      <c r="O8" s="11"/>
      <c r="P8" s="11"/>
      <c r="Q8" s="11"/>
      <c r="R8" s="11"/>
    </row>
    <row r="9" spans="1:18" ht="18" thickBot="1" x14ac:dyDescent="0.3">
      <c r="A9" s="2" t="s">
        <v>6</v>
      </c>
      <c r="B9" s="2">
        <v>54.4</v>
      </c>
      <c r="C9" s="2" t="str">
        <f t="shared" si="0"/>
        <v>C</v>
      </c>
      <c r="N9" s="11"/>
      <c r="O9" s="11"/>
      <c r="P9" s="11"/>
      <c r="Q9" s="11"/>
      <c r="R9" s="11"/>
    </row>
    <row r="10" spans="1:18" ht="18" thickBot="1" x14ac:dyDescent="0.3">
      <c r="A10" s="3" t="s">
        <v>7</v>
      </c>
      <c r="B10" s="3">
        <v>52.6</v>
      </c>
      <c r="C10" s="2" t="str">
        <f t="shared" si="0"/>
        <v>C</v>
      </c>
      <c r="N10" s="11"/>
      <c r="O10" s="11"/>
      <c r="P10" s="11"/>
      <c r="Q10" s="11"/>
      <c r="R10" s="11"/>
    </row>
    <row r="11" spans="1:18" ht="18" thickBot="1" x14ac:dyDescent="0.3">
      <c r="A11" s="2" t="s">
        <v>8</v>
      </c>
      <c r="B11" s="2">
        <v>50.8</v>
      </c>
      <c r="C11" s="2" t="str">
        <f t="shared" si="0"/>
        <v>C</v>
      </c>
      <c r="N11" s="11"/>
      <c r="O11" s="11"/>
      <c r="P11" s="11"/>
      <c r="Q11" s="11"/>
      <c r="R11" s="11"/>
    </row>
    <row r="12" spans="1:18" ht="18" thickBot="1" x14ac:dyDescent="0.3">
      <c r="A12" s="2" t="s">
        <v>4</v>
      </c>
      <c r="B12" s="2">
        <v>49</v>
      </c>
      <c r="C12" s="2" t="str">
        <f t="shared" si="0"/>
        <v>C</v>
      </c>
    </row>
    <row r="13" spans="1:18" ht="18" thickBot="1" x14ac:dyDescent="0.3">
      <c r="A13" s="3" t="s">
        <v>5</v>
      </c>
      <c r="B13" s="3">
        <v>47.2</v>
      </c>
      <c r="C13" s="2" t="str">
        <f t="shared" si="0"/>
        <v>C</v>
      </c>
    </row>
    <row r="14" spans="1:18" ht="18" thickBot="1" x14ac:dyDescent="0.3">
      <c r="A14" s="2" t="s">
        <v>6</v>
      </c>
      <c r="B14" s="2">
        <v>45.4</v>
      </c>
      <c r="C14" s="2" t="str">
        <f t="shared" si="0"/>
        <v>C</v>
      </c>
    </row>
    <row r="15" spans="1:18" ht="18" thickBot="1" x14ac:dyDescent="0.3">
      <c r="A15" s="3" t="s">
        <v>7</v>
      </c>
      <c r="B15" s="3">
        <v>43.6</v>
      </c>
      <c r="C15" s="2" t="str">
        <f t="shared" si="0"/>
        <v>C</v>
      </c>
    </row>
    <row r="16" spans="1:18" ht="35.25" thickBot="1" x14ac:dyDescent="0.3">
      <c r="A16" s="2" t="s">
        <v>8</v>
      </c>
      <c r="B16" s="2">
        <v>41.8</v>
      </c>
      <c r="C16" s="2" t="str">
        <f t="shared" si="0"/>
        <v>C</v>
      </c>
    </row>
  </sheetData>
  <mergeCells count="1">
    <mergeCell ref="N5:R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C1E02-F102-4948-B816-4618476EFEB4}">
  <dimension ref="A1:S16"/>
  <sheetViews>
    <sheetView workbookViewId="0">
      <selection activeCell="K12" sqref="K12"/>
    </sheetView>
  </sheetViews>
  <sheetFormatPr defaultRowHeight="15" x14ac:dyDescent="0.25"/>
  <cols>
    <col min="1" max="1" width="17" customWidth="1"/>
    <col min="3" max="3" width="17.28515625" customWidth="1"/>
    <col min="4" max="4" width="20.42578125" customWidth="1"/>
  </cols>
  <sheetData>
    <row r="1" spans="1:19" ht="35.25" thickBot="1" x14ac:dyDescent="0.3">
      <c r="A1" s="1" t="s">
        <v>20</v>
      </c>
      <c r="B1" s="1" t="s">
        <v>21</v>
      </c>
      <c r="C1" s="1" t="s">
        <v>22</v>
      </c>
      <c r="D1" s="1" t="s">
        <v>23</v>
      </c>
    </row>
    <row r="2" spans="1:19" ht="18" thickBot="1" x14ac:dyDescent="0.3">
      <c r="A2" s="2" t="s">
        <v>13</v>
      </c>
      <c r="B2" s="2">
        <v>25</v>
      </c>
      <c r="C2" s="6">
        <v>2</v>
      </c>
      <c r="D2" s="2" t="str">
        <f>IF(AND(B2&gt;=21,C2&gt;=1),"Eligible","Not Eligible")</f>
        <v>Eligible</v>
      </c>
    </row>
    <row r="3" spans="1:19" ht="18" thickBot="1" x14ac:dyDescent="0.3">
      <c r="A3" s="3" t="s">
        <v>14</v>
      </c>
      <c r="B3" s="3">
        <v>20</v>
      </c>
      <c r="C3" s="7">
        <v>1</v>
      </c>
      <c r="D3" s="2" t="str">
        <f t="shared" ref="D3:D16" si="0">IF(AND(B3&gt;=21,C3&gt;=1),"Eligible","Not Eligible")</f>
        <v>Not Eligible</v>
      </c>
      <c r="O3" s="10" t="s">
        <v>24</v>
      </c>
      <c r="P3" s="11"/>
      <c r="Q3" s="11"/>
      <c r="R3" s="11"/>
      <c r="S3" s="11"/>
    </row>
    <row r="4" spans="1:19" ht="18" thickBot="1" x14ac:dyDescent="0.3">
      <c r="A4" s="2" t="s">
        <v>15</v>
      </c>
      <c r="B4" s="2">
        <v>30</v>
      </c>
      <c r="C4" s="6">
        <v>5</v>
      </c>
      <c r="D4" s="2" t="str">
        <f t="shared" si="0"/>
        <v>Eligible</v>
      </c>
      <c r="O4" s="11"/>
      <c r="P4" s="11"/>
      <c r="Q4" s="11"/>
      <c r="R4" s="11"/>
      <c r="S4" s="11"/>
    </row>
    <row r="5" spans="1:19" ht="18" thickBot="1" x14ac:dyDescent="0.3">
      <c r="A5" s="3" t="s">
        <v>16</v>
      </c>
      <c r="B5" s="3">
        <v>22</v>
      </c>
      <c r="C5" s="7">
        <v>0</v>
      </c>
      <c r="D5" s="2" t="str">
        <f t="shared" si="0"/>
        <v>Not Eligible</v>
      </c>
      <c r="O5" s="11"/>
      <c r="P5" s="11"/>
      <c r="Q5" s="11"/>
      <c r="R5" s="11"/>
      <c r="S5" s="11"/>
    </row>
    <row r="6" spans="1:19" ht="18" thickBot="1" x14ac:dyDescent="0.3">
      <c r="A6" s="2" t="s">
        <v>13</v>
      </c>
      <c r="B6" s="2">
        <f ca="1">RANDBETWEEN(20,30)</f>
        <v>20</v>
      </c>
      <c r="C6" s="4">
        <f ca="1">RANDBETWEEN(0,6)</f>
        <v>4</v>
      </c>
      <c r="D6" s="2" t="str">
        <f t="shared" ca="1" si="0"/>
        <v>Not Eligible</v>
      </c>
      <c r="O6" s="11"/>
      <c r="P6" s="11"/>
      <c r="Q6" s="11"/>
      <c r="R6" s="11"/>
      <c r="S6" s="11"/>
    </row>
    <row r="7" spans="1:19" ht="18" thickBot="1" x14ac:dyDescent="0.3">
      <c r="A7" s="3" t="s">
        <v>14</v>
      </c>
      <c r="B7" s="2">
        <f t="shared" ref="B7:B16" ca="1" si="1">RANDBETWEEN(20,30)</f>
        <v>20</v>
      </c>
      <c r="C7" s="4">
        <f t="shared" ref="C7:C16" ca="1" si="2">RANDBETWEEN(0,6)</f>
        <v>4</v>
      </c>
      <c r="D7" s="2" t="str">
        <f t="shared" ca="1" si="0"/>
        <v>Not Eligible</v>
      </c>
      <c r="O7" s="11"/>
      <c r="P7" s="11"/>
      <c r="Q7" s="11"/>
      <c r="R7" s="11"/>
      <c r="S7" s="11"/>
    </row>
    <row r="8" spans="1:19" ht="18" thickBot="1" x14ac:dyDescent="0.3">
      <c r="A8" s="2" t="s">
        <v>15</v>
      </c>
      <c r="B8" s="2">
        <f t="shared" ca="1" si="1"/>
        <v>25</v>
      </c>
      <c r="C8" s="4">
        <f t="shared" ca="1" si="2"/>
        <v>4</v>
      </c>
      <c r="D8" s="2" t="str">
        <f t="shared" ca="1" si="0"/>
        <v>Eligible</v>
      </c>
      <c r="O8" s="11"/>
      <c r="P8" s="11"/>
      <c r="Q8" s="11"/>
      <c r="R8" s="11"/>
      <c r="S8" s="11"/>
    </row>
    <row r="9" spans="1:19" ht="18" thickBot="1" x14ac:dyDescent="0.3">
      <c r="A9" s="3" t="s">
        <v>16</v>
      </c>
      <c r="B9" s="2">
        <f t="shared" ca="1" si="1"/>
        <v>30</v>
      </c>
      <c r="C9" s="4">
        <f t="shared" ca="1" si="2"/>
        <v>3</v>
      </c>
      <c r="D9" s="2" t="str">
        <f t="shared" ca="1" si="0"/>
        <v>Eligible</v>
      </c>
      <c r="O9" s="11"/>
      <c r="P9" s="11"/>
      <c r="Q9" s="11"/>
      <c r="R9" s="11"/>
      <c r="S9" s="11"/>
    </row>
    <row r="10" spans="1:19" ht="18" thickBot="1" x14ac:dyDescent="0.3">
      <c r="A10" s="2" t="s">
        <v>13</v>
      </c>
      <c r="B10" s="2">
        <f t="shared" ca="1" si="1"/>
        <v>22</v>
      </c>
      <c r="C10" s="4">
        <f t="shared" ca="1" si="2"/>
        <v>5</v>
      </c>
      <c r="D10" s="2" t="str">
        <f t="shared" ca="1" si="0"/>
        <v>Eligible</v>
      </c>
    </row>
    <row r="11" spans="1:19" ht="35.25" thickBot="1" x14ac:dyDescent="0.3">
      <c r="A11" s="3" t="s">
        <v>14</v>
      </c>
      <c r="B11" s="2">
        <f t="shared" ca="1" si="1"/>
        <v>28</v>
      </c>
      <c r="C11" s="4">
        <f t="shared" ca="1" si="2"/>
        <v>6</v>
      </c>
      <c r="D11" s="2" t="str">
        <f t="shared" ca="1" si="0"/>
        <v>Eligible</v>
      </c>
    </row>
    <row r="12" spans="1:19" ht="18" thickBot="1" x14ac:dyDescent="0.3">
      <c r="A12" s="2" t="s">
        <v>15</v>
      </c>
      <c r="B12" s="2">
        <f t="shared" ca="1" si="1"/>
        <v>20</v>
      </c>
      <c r="C12" s="4">
        <f t="shared" ca="1" si="2"/>
        <v>1</v>
      </c>
      <c r="D12" s="2" t="str">
        <f t="shared" ca="1" si="0"/>
        <v>Not Eligible</v>
      </c>
    </row>
    <row r="13" spans="1:19" ht="18" thickBot="1" x14ac:dyDescent="0.3">
      <c r="A13" s="3" t="s">
        <v>16</v>
      </c>
      <c r="B13" s="2">
        <f t="shared" ca="1" si="1"/>
        <v>25</v>
      </c>
      <c r="C13" s="4">
        <f t="shared" ca="1" si="2"/>
        <v>3</v>
      </c>
      <c r="D13" s="2" t="str">
        <f t="shared" ca="1" si="0"/>
        <v>Eligible</v>
      </c>
    </row>
    <row r="14" spans="1:19" ht="18" thickBot="1" x14ac:dyDescent="0.3">
      <c r="A14" s="2" t="s">
        <v>13</v>
      </c>
      <c r="B14" s="2">
        <f t="shared" ca="1" si="1"/>
        <v>22</v>
      </c>
      <c r="C14" s="4">
        <f t="shared" ca="1" si="2"/>
        <v>4</v>
      </c>
      <c r="D14" s="2" t="str">
        <f t="shared" ca="1" si="0"/>
        <v>Eligible</v>
      </c>
    </row>
    <row r="15" spans="1:19" ht="35.25" thickBot="1" x14ac:dyDescent="0.3">
      <c r="A15" s="3" t="s">
        <v>14</v>
      </c>
      <c r="B15" s="2">
        <f t="shared" ca="1" si="1"/>
        <v>20</v>
      </c>
      <c r="C15" s="4">
        <f t="shared" ca="1" si="2"/>
        <v>5</v>
      </c>
      <c r="D15" s="2" t="str">
        <f t="shared" ca="1" si="0"/>
        <v>Not Eligible</v>
      </c>
    </row>
    <row r="16" spans="1:19" ht="18" thickBot="1" x14ac:dyDescent="0.3">
      <c r="A16" s="2" t="s">
        <v>15</v>
      </c>
      <c r="B16" s="2">
        <f t="shared" ca="1" si="1"/>
        <v>30</v>
      </c>
      <c r="C16" s="4">
        <f t="shared" ca="1" si="2"/>
        <v>5</v>
      </c>
      <c r="D16" s="2" t="str">
        <f t="shared" ca="1" si="0"/>
        <v>Eligible</v>
      </c>
    </row>
  </sheetData>
  <mergeCells count="1">
    <mergeCell ref="O3:S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A87BF-4F86-499C-8F91-7908ECA9BA5C}">
  <dimension ref="A1:T15"/>
  <sheetViews>
    <sheetView workbookViewId="0">
      <selection activeCell="D2" sqref="D2"/>
    </sheetView>
  </sheetViews>
  <sheetFormatPr defaultRowHeight="15" x14ac:dyDescent="0.25"/>
  <cols>
    <col min="1" max="1" width="18.5703125" customWidth="1"/>
    <col min="2" max="2" width="20.5703125" customWidth="1"/>
    <col min="3" max="3" width="24.42578125" customWidth="1"/>
    <col min="4" max="4" width="28" customWidth="1"/>
  </cols>
  <sheetData>
    <row r="1" spans="1:20" ht="69.75" thickBot="1" x14ac:dyDescent="0.3">
      <c r="A1" s="1" t="s">
        <v>1</v>
      </c>
      <c r="B1" s="1" t="s">
        <v>25</v>
      </c>
      <c r="C1" s="1" t="s">
        <v>26</v>
      </c>
      <c r="D1" s="1" t="s">
        <v>23</v>
      </c>
    </row>
    <row r="2" spans="1:20" ht="18" thickBot="1" x14ac:dyDescent="0.3">
      <c r="A2" s="2" t="s">
        <v>4</v>
      </c>
      <c r="B2" s="2">
        <v>85</v>
      </c>
      <c r="C2" s="2" t="s">
        <v>27</v>
      </c>
      <c r="D2" s="2" t="str">
        <f>IF(AND(B2&gt;=75,C2="Yes"),"Eligible","Not Eligible")</f>
        <v>Eligible</v>
      </c>
    </row>
    <row r="3" spans="1:20" ht="18" thickBot="1" x14ac:dyDescent="0.3">
      <c r="A3" s="3" t="s">
        <v>5</v>
      </c>
      <c r="B3" s="3">
        <v>72</v>
      </c>
      <c r="C3" s="3" t="s">
        <v>27</v>
      </c>
      <c r="D3" s="2" t="str">
        <f t="shared" ref="D3:D15" si="0">IF(AND(B3&gt;=75,C3="Yes"),"Eligible","Not Eligible")</f>
        <v>Not Eligible</v>
      </c>
      <c r="P3" s="10" t="s">
        <v>29</v>
      </c>
      <c r="Q3" s="11"/>
      <c r="R3" s="11"/>
      <c r="S3" s="11"/>
      <c r="T3" s="11"/>
    </row>
    <row r="4" spans="1:20" ht="18" thickBot="1" x14ac:dyDescent="0.3">
      <c r="A4" s="2" t="s">
        <v>6</v>
      </c>
      <c r="B4" s="2">
        <v>90</v>
      </c>
      <c r="C4" s="2" t="s">
        <v>28</v>
      </c>
      <c r="D4" s="2" t="str">
        <f t="shared" si="0"/>
        <v>Not Eligible</v>
      </c>
      <c r="P4" s="11"/>
      <c r="Q4" s="11"/>
      <c r="R4" s="11"/>
      <c r="S4" s="11"/>
      <c r="T4" s="11"/>
    </row>
    <row r="5" spans="1:20" ht="18" thickBot="1" x14ac:dyDescent="0.3">
      <c r="A5" s="3" t="s">
        <v>7</v>
      </c>
      <c r="B5" s="3">
        <v>80</v>
      </c>
      <c r="C5" s="3" t="s">
        <v>27</v>
      </c>
      <c r="D5" s="2" t="str">
        <f t="shared" si="0"/>
        <v>Eligible</v>
      </c>
      <c r="P5" s="11"/>
      <c r="Q5" s="11"/>
      <c r="R5" s="11"/>
      <c r="S5" s="11"/>
      <c r="T5" s="11"/>
    </row>
    <row r="6" spans="1:20" ht="18" thickBot="1" x14ac:dyDescent="0.3">
      <c r="A6" s="2" t="s">
        <v>4</v>
      </c>
      <c r="B6" s="2">
        <v>82.5</v>
      </c>
      <c r="C6" s="2" t="s">
        <v>27</v>
      </c>
      <c r="D6" s="2" t="str">
        <f t="shared" si="0"/>
        <v>Eligible</v>
      </c>
      <c r="P6" s="11"/>
      <c r="Q6" s="11"/>
      <c r="R6" s="11"/>
      <c r="S6" s="11"/>
      <c r="T6" s="11"/>
    </row>
    <row r="7" spans="1:20" ht="18" thickBot="1" x14ac:dyDescent="0.3">
      <c r="A7" s="3" t="s">
        <v>5</v>
      </c>
      <c r="B7" s="3">
        <v>82.8</v>
      </c>
      <c r="C7" s="3" t="s">
        <v>27</v>
      </c>
      <c r="D7" s="2" t="str">
        <f t="shared" si="0"/>
        <v>Eligible</v>
      </c>
      <c r="P7" s="11"/>
      <c r="Q7" s="11"/>
      <c r="R7" s="11"/>
      <c r="S7" s="11"/>
      <c r="T7" s="11"/>
    </row>
    <row r="8" spans="1:20" ht="18" thickBot="1" x14ac:dyDescent="0.3">
      <c r="A8" s="2" t="s">
        <v>6</v>
      </c>
      <c r="B8" s="2">
        <v>83.1</v>
      </c>
      <c r="C8" s="2" t="s">
        <v>28</v>
      </c>
      <c r="D8" s="2" t="str">
        <f t="shared" si="0"/>
        <v>Not Eligible</v>
      </c>
      <c r="P8" s="11"/>
      <c r="Q8" s="11"/>
      <c r="R8" s="11"/>
      <c r="S8" s="11"/>
      <c r="T8" s="11"/>
    </row>
    <row r="9" spans="1:20" ht="18" thickBot="1" x14ac:dyDescent="0.3">
      <c r="A9" s="3" t="s">
        <v>7</v>
      </c>
      <c r="B9" s="3">
        <v>83.4</v>
      </c>
      <c r="C9" s="3" t="s">
        <v>27</v>
      </c>
      <c r="D9" s="2" t="str">
        <f t="shared" si="0"/>
        <v>Eligible</v>
      </c>
      <c r="P9" s="11"/>
      <c r="Q9" s="11"/>
      <c r="R9" s="11"/>
      <c r="S9" s="11"/>
      <c r="T9" s="11"/>
    </row>
    <row r="10" spans="1:20" ht="18" thickBot="1" x14ac:dyDescent="0.3">
      <c r="A10" s="2" t="s">
        <v>4</v>
      </c>
      <c r="B10" s="2">
        <v>83.7</v>
      </c>
      <c r="C10" s="2" t="s">
        <v>27</v>
      </c>
      <c r="D10" s="2" t="str">
        <f t="shared" si="0"/>
        <v>Eligible</v>
      </c>
      <c r="P10" s="11"/>
      <c r="Q10" s="11"/>
      <c r="R10" s="11"/>
      <c r="S10" s="11"/>
      <c r="T10" s="11"/>
    </row>
    <row r="11" spans="1:20" ht="18" thickBot="1" x14ac:dyDescent="0.3">
      <c r="A11" s="3" t="s">
        <v>5</v>
      </c>
      <c r="B11" s="3">
        <v>84</v>
      </c>
      <c r="C11" s="3" t="s">
        <v>27</v>
      </c>
      <c r="D11" s="2" t="str">
        <f t="shared" si="0"/>
        <v>Eligible</v>
      </c>
    </row>
    <row r="12" spans="1:20" ht="18" thickBot="1" x14ac:dyDescent="0.3">
      <c r="A12" s="2" t="s">
        <v>6</v>
      </c>
      <c r="B12" s="2">
        <v>84.3</v>
      </c>
      <c r="C12" s="2" t="s">
        <v>28</v>
      </c>
      <c r="D12" s="2" t="str">
        <f t="shared" si="0"/>
        <v>Not Eligible</v>
      </c>
    </row>
    <row r="13" spans="1:20" ht="18" thickBot="1" x14ac:dyDescent="0.3">
      <c r="A13" s="3" t="s">
        <v>7</v>
      </c>
      <c r="B13" s="3">
        <v>84.6</v>
      </c>
      <c r="C13" s="3" t="s">
        <v>27</v>
      </c>
      <c r="D13" s="2" t="str">
        <f t="shared" si="0"/>
        <v>Eligible</v>
      </c>
    </row>
    <row r="14" spans="1:20" ht="18" thickBot="1" x14ac:dyDescent="0.3">
      <c r="A14" s="2" t="s">
        <v>4</v>
      </c>
      <c r="B14" s="2">
        <v>84.9</v>
      </c>
      <c r="C14" s="2" t="s">
        <v>27</v>
      </c>
      <c r="D14" s="2" t="str">
        <f t="shared" si="0"/>
        <v>Eligible</v>
      </c>
    </row>
    <row r="15" spans="1:20" ht="18" thickBot="1" x14ac:dyDescent="0.3">
      <c r="A15" s="3" t="s">
        <v>5</v>
      </c>
      <c r="B15" s="3">
        <v>85.2</v>
      </c>
      <c r="C15" s="3" t="s">
        <v>27</v>
      </c>
      <c r="D15" s="2" t="str">
        <f t="shared" si="0"/>
        <v>Eligible</v>
      </c>
    </row>
  </sheetData>
  <mergeCells count="1">
    <mergeCell ref="P3:T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29624-A3F9-4F9D-A0D6-A7AC71E4DFB3}">
  <dimension ref="A1:S17"/>
  <sheetViews>
    <sheetView workbookViewId="0">
      <selection activeCell="J7" sqref="J7"/>
    </sheetView>
  </sheetViews>
  <sheetFormatPr defaultRowHeight="15" x14ac:dyDescent="0.25"/>
  <cols>
    <col min="1" max="1" width="21.5703125" customWidth="1"/>
    <col min="2" max="2" width="21.140625" customWidth="1"/>
    <col min="3" max="3" width="23.5703125" customWidth="1"/>
    <col min="4" max="4" width="15.85546875" customWidth="1"/>
  </cols>
  <sheetData>
    <row r="1" spans="1:19" ht="35.25" thickBot="1" x14ac:dyDescent="0.3">
      <c r="A1" s="1" t="s">
        <v>30</v>
      </c>
      <c r="B1" s="1" t="s">
        <v>31</v>
      </c>
      <c r="C1" s="1" t="s">
        <v>32</v>
      </c>
      <c r="D1" t="s">
        <v>33</v>
      </c>
    </row>
    <row r="2" spans="1:19" ht="18" thickBot="1" x14ac:dyDescent="0.3">
      <c r="A2" s="2" t="s">
        <v>34</v>
      </c>
      <c r="B2" s="6">
        <v>9000</v>
      </c>
      <c r="C2" s="2" t="s">
        <v>28</v>
      </c>
      <c r="D2" t="str">
        <f>IF(OR(B2&gt;=10000,C2="Yes"),"Discount","No Discount")</f>
        <v>No Discount</v>
      </c>
    </row>
    <row r="3" spans="1:19" ht="35.25" customHeight="1" thickBot="1" x14ac:dyDescent="0.3">
      <c r="A3" s="3" t="s">
        <v>35</v>
      </c>
      <c r="B3" s="7">
        <v>12000</v>
      </c>
      <c r="C3" s="3" t="s">
        <v>28</v>
      </c>
      <c r="D3" t="str">
        <f t="shared" ref="D3:D17" si="0">IF(OR(B3&gt;=10000,C3="Yes"),"Discount","No Discount")</f>
        <v>Discount</v>
      </c>
      <c r="N3" s="10" t="s">
        <v>37</v>
      </c>
      <c r="O3" s="11"/>
      <c r="P3" s="11"/>
      <c r="Q3" s="11"/>
      <c r="R3" s="11"/>
      <c r="S3" s="11"/>
    </row>
    <row r="4" spans="1:19" ht="18" thickBot="1" x14ac:dyDescent="0.3">
      <c r="A4" s="2" t="s">
        <v>6</v>
      </c>
      <c r="B4" s="6">
        <v>4000</v>
      </c>
      <c r="C4" s="2" t="s">
        <v>27</v>
      </c>
      <c r="D4" t="str">
        <f t="shared" si="0"/>
        <v>Discount</v>
      </c>
      <c r="N4" s="11"/>
      <c r="O4" s="11"/>
      <c r="P4" s="11"/>
      <c r="Q4" s="11"/>
      <c r="R4" s="11"/>
      <c r="S4" s="11"/>
    </row>
    <row r="5" spans="1:19" ht="18" thickBot="1" x14ac:dyDescent="0.3">
      <c r="A5" s="3" t="s">
        <v>36</v>
      </c>
      <c r="B5" s="7">
        <v>3000</v>
      </c>
      <c r="C5" s="3" t="s">
        <v>28</v>
      </c>
      <c r="D5" t="str">
        <f t="shared" si="0"/>
        <v>No Discount</v>
      </c>
      <c r="N5" s="11"/>
      <c r="O5" s="11"/>
      <c r="P5" s="11"/>
      <c r="Q5" s="11"/>
      <c r="R5" s="11"/>
      <c r="S5" s="11"/>
    </row>
    <row r="6" spans="1:19" ht="35.25" customHeight="1" thickBot="1" x14ac:dyDescent="0.3">
      <c r="A6" s="2" t="s">
        <v>34</v>
      </c>
      <c r="B6" s="4">
        <f ca="1">RANDBETWEEN(2000,9000)</f>
        <v>5237</v>
      </c>
      <c r="C6" s="2" t="s">
        <v>28</v>
      </c>
      <c r="D6" t="str">
        <f t="shared" ca="1" si="0"/>
        <v>No Discount</v>
      </c>
      <c r="N6" s="11"/>
      <c r="O6" s="11"/>
      <c r="P6" s="11"/>
      <c r="Q6" s="11"/>
      <c r="R6" s="11"/>
      <c r="S6" s="11"/>
    </row>
    <row r="7" spans="1:19" ht="35.25" customHeight="1" thickBot="1" x14ac:dyDescent="0.3">
      <c r="A7" s="3" t="s">
        <v>35</v>
      </c>
      <c r="B7" s="4">
        <f t="shared" ref="B7:B16" ca="1" si="1">RANDBETWEEN(2000,9000)</f>
        <v>8143</v>
      </c>
      <c r="C7" s="3" t="s">
        <v>28</v>
      </c>
      <c r="D7" t="str">
        <f t="shared" ca="1" si="0"/>
        <v>No Discount</v>
      </c>
      <c r="N7" s="11"/>
      <c r="O7" s="11"/>
      <c r="P7" s="11"/>
      <c r="Q7" s="11"/>
      <c r="R7" s="11"/>
      <c r="S7" s="11"/>
    </row>
    <row r="8" spans="1:19" ht="18" thickBot="1" x14ac:dyDescent="0.3">
      <c r="A8" s="2" t="s">
        <v>6</v>
      </c>
      <c r="B8" s="4">
        <f t="shared" ca="1" si="1"/>
        <v>2804</v>
      </c>
      <c r="C8" s="2" t="s">
        <v>27</v>
      </c>
      <c r="D8" t="str">
        <f t="shared" ca="1" si="0"/>
        <v>Discount</v>
      </c>
      <c r="N8" s="11"/>
      <c r="O8" s="11"/>
      <c r="P8" s="11"/>
      <c r="Q8" s="11"/>
      <c r="R8" s="11"/>
      <c r="S8" s="11"/>
    </row>
    <row r="9" spans="1:19" ht="18" thickBot="1" x14ac:dyDescent="0.3">
      <c r="A9" s="3" t="s">
        <v>36</v>
      </c>
      <c r="B9" s="4">
        <f t="shared" ca="1" si="1"/>
        <v>8965</v>
      </c>
      <c r="C9" s="3" t="s">
        <v>28</v>
      </c>
      <c r="D9" t="str">
        <f t="shared" ca="1" si="0"/>
        <v>No Discount</v>
      </c>
      <c r="N9" s="11"/>
      <c r="O9" s="11"/>
      <c r="P9" s="11"/>
      <c r="Q9" s="11"/>
      <c r="R9" s="11"/>
      <c r="S9" s="11"/>
    </row>
    <row r="10" spans="1:19" ht="18" thickBot="1" x14ac:dyDescent="0.3">
      <c r="A10" s="2" t="s">
        <v>34</v>
      </c>
      <c r="B10" s="4">
        <f t="shared" ca="1" si="1"/>
        <v>6437</v>
      </c>
      <c r="C10" s="2" t="s">
        <v>28</v>
      </c>
      <c r="D10" t="str">
        <f t="shared" ca="1" si="0"/>
        <v>No Discount</v>
      </c>
    </row>
    <row r="11" spans="1:19" ht="18" thickBot="1" x14ac:dyDescent="0.3">
      <c r="A11" s="3" t="s">
        <v>35</v>
      </c>
      <c r="B11" s="4">
        <f t="shared" ca="1" si="1"/>
        <v>3116</v>
      </c>
      <c r="C11" s="3" t="s">
        <v>28</v>
      </c>
      <c r="D11" t="str">
        <f t="shared" ca="1" si="0"/>
        <v>No Discount</v>
      </c>
    </row>
    <row r="12" spans="1:19" ht="18" thickBot="1" x14ac:dyDescent="0.3">
      <c r="A12" s="2" t="s">
        <v>6</v>
      </c>
      <c r="B12" s="4">
        <f t="shared" ca="1" si="1"/>
        <v>7793</v>
      </c>
      <c r="C12" s="2" t="s">
        <v>27</v>
      </c>
      <c r="D12" t="str">
        <f t="shared" ca="1" si="0"/>
        <v>Discount</v>
      </c>
    </row>
    <row r="13" spans="1:19" ht="18" thickBot="1" x14ac:dyDescent="0.3">
      <c r="A13" s="3" t="s">
        <v>36</v>
      </c>
      <c r="B13" s="4">
        <f t="shared" ca="1" si="1"/>
        <v>5711</v>
      </c>
      <c r="C13" s="3" t="s">
        <v>28</v>
      </c>
      <c r="D13" t="str">
        <f t="shared" ca="1" si="0"/>
        <v>No Discount</v>
      </c>
    </row>
    <row r="14" spans="1:19" ht="18" thickBot="1" x14ac:dyDescent="0.3">
      <c r="A14" s="2" t="s">
        <v>34</v>
      </c>
      <c r="B14" s="4">
        <f t="shared" ca="1" si="1"/>
        <v>3150</v>
      </c>
      <c r="C14" s="2" t="s">
        <v>28</v>
      </c>
      <c r="D14" t="str">
        <f t="shared" ca="1" si="0"/>
        <v>No Discount</v>
      </c>
    </row>
    <row r="15" spans="1:19" ht="18" thickBot="1" x14ac:dyDescent="0.3">
      <c r="A15" s="3" t="s">
        <v>35</v>
      </c>
      <c r="B15" s="4">
        <f t="shared" ca="1" si="1"/>
        <v>6675</v>
      </c>
      <c r="C15" s="3" t="s">
        <v>28</v>
      </c>
      <c r="D15" t="str">
        <f t="shared" ca="1" si="0"/>
        <v>No Discount</v>
      </c>
    </row>
    <row r="16" spans="1:19" ht="18" thickBot="1" x14ac:dyDescent="0.3">
      <c r="A16" s="2" t="s">
        <v>6</v>
      </c>
      <c r="B16" s="4">
        <f t="shared" ca="1" si="1"/>
        <v>2444</v>
      </c>
      <c r="C16" s="2" t="s">
        <v>27</v>
      </c>
      <c r="D16" t="str">
        <f t="shared" ca="1" si="0"/>
        <v>Discount</v>
      </c>
    </row>
    <row r="17" spans="4:4" x14ac:dyDescent="0.25">
      <c r="D17" t="str">
        <f t="shared" si="0"/>
        <v>No Discount</v>
      </c>
    </row>
  </sheetData>
  <mergeCells count="1">
    <mergeCell ref="N3:S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CE5F6-C366-4130-BF40-20075EB48AD3}">
  <dimension ref="A1:R16"/>
  <sheetViews>
    <sheetView workbookViewId="0">
      <selection activeCell="F7" sqref="F7"/>
    </sheetView>
  </sheetViews>
  <sheetFormatPr defaultRowHeight="15" x14ac:dyDescent="0.25"/>
  <cols>
    <col min="1" max="1" width="19.140625" customWidth="1"/>
    <col min="2" max="2" width="13.42578125" customWidth="1"/>
    <col min="3" max="3" width="21.85546875" customWidth="1"/>
    <col min="4" max="4" width="28.5703125" customWidth="1"/>
  </cols>
  <sheetData>
    <row r="1" spans="1:18" ht="28.5" x14ac:dyDescent="0.45">
      <c r="A1" s="8" t="s">
        <v>38</v>
      </c>
      <c r="B1" s="8" t="s">
        <v>11</v>
      </c>
      <c r="C1" s="8" t="s">
        <v>39</v>
      </c>
      <c r="D1" s="8" t="s">
        <v>40</v>
      </c>
    </row>
    <row r="2" spans="1:18" ht="28.5" x14ac:dyDescent="0.45">
      <c r="A2" s="8" t="s">
        <v>13</v>
      </c>
      <c r="B2" s="8">
        <v>35000</v>
      </c>
      <c r="C2" s="8">
        <v>720</v>
      </c>
      <c r="D2" s="8" t="str">
        <f>IF(OR(B2&gt;=40000,C2&gt;=700),"Eligible","Rejected")</f>
        <v>Eligible</v>
      </c>
    </row>
    <row r="3" spans="1:18" ht="28.5" x14ac:dyDescent="0.45">
      <c r="A3" s="8" t="s">
        <v>14</v>
      </c>
      <c r="B3" s="8">
        <v>25000</v>
      </c>
      <c r="C3" s="8">
        <v>680</v>
      </c>
      <c r="D3" s="8" t="str">
        <f t="shared" ref="D3:D16" si="0">IF(OR(B3&gt;=40000,C3&gt;=700),"Eligible","Rejected")</f>
        <v>Rejected</v>
      </c>
    </row>
    <row r="4" spans="1:18" ht="28.5" x14ac:dyDescent="0.45">
      <c r="A4" s="8" t="s">
        <v>15</v>
      </c>
      <c r="B4" s="8">
        <v>50000</v>
      </c>
      <c r="C4" s="8">
        <v>650</v>
      </c>
      <c r="D4" s="8" t="str">
        <f t="shared" si="0"/>
        <v>Eligible</v>
      </c>
      <c r="N4" s="10" t="s">
        <v>41</v>
      </c>
      <c r="O4" s="11"/>
      <c r="P4" s="11"/>
      <c r="Q4" s="11"/>
      <c r="R4" s="11"/>
    </row>
    <row r="5" spans="1:18" ht="28.5" x14ac:dyDescent="0.45">
      <c r="A5" s="8" t="s">
        <v>16</v>
      </c>
      <c r="B5" s="8">
        <v>20000</v>
      </c>
      <c r="C5" s="8">
        <v>600</v>
      </c>
      <c r="D5" s="8" t="str">
        <f t="shared" si="0"/>
        <v>Rejected</v>
      </c>
      <c r="N5" s="11"/>
      <c r="O5" s="11"/>
      <c r="P5" s="11"/>
      <c r="Q5" s="11"/>
      <c r="R5" s="11"/>
    </row>
    <row r="6" spans="1:18" ht="28.5" x14ac:dyDescent="0.45">
      <c r="A6" s="8" t="s">
        <v>13</v>
      </c>
      <c r="B6" s="8">
        <f ca="1">RANDBETWEEN(20000,60000)</f>
        <v>22982</v>
      </c>
      <c r="C6" s="8">
        <f ca="1">RANDBETWEEN(500,800)</f>
        <v>781</v>
      </c>
      <c r="D6" s="8" t="str">
        <f t="shared" ca="1" si="0"/>
        <v>Eligible</v>
      </c>
      <c r="N6" s="11"/>
      <c r="O6" s="11"/>
      <c r="P6" s="11"/>
      <c r="Q6" s="11"/>
      <c r="R6" s="11"/>
    </row>
    <row r="7" spans="1:18" ht="28.5" x14ac:dyDescent="0.45">
      <c r="A7" s="8" t="s">
        <v>14</v>
      </c>
      <c r="B7" s="8">
        <f t="shared" ref="B7:B16" ca="1" si="1">RANDBETWEEN(20000,60000)</f>
        <v>47557</v>
      </c>
      <c r="C7" s="8">
        <f t="shared" ref="C7:C16" ca="1" si="2">RANDBETWEEN(500,800)</f>
        <v>655</v>
      </c>
      <c r="D7" s="8" t="str">
        <f t="shared" ca="1" si="0"/>
        <v>Eligible</v>
      </c>
      <c r="N7" s="11"/>
      <c r="O7" s="11"/>
      <c r="P7" s="11"/>
      <c r="Q7" s="11"/>
      <c r="R7" s="11"/>
    </row>
    <row r="8" spans="1:18" ht="28.5" x14ac:dyDescent="0.45">
      <c r="A8" s="8" t="s">
        <v>15</v>
      </c>
      <c r="B8" s="8">
        <f t="shared" ca="1" si="1"/>
        <v>57687</v>
      </c>
      <c r="C8" s="8">
        <f t="shared" ca="1" si="2"/>
        <v>783</v>
      </c>
      <c r="D8" s="8" t="str">
        <f t="shared" ca="1" si="0"/>
        <v>Eligible</v>
      </c>
      <c r="N8" s="11"/>
      <c r="O8" s="11"/>
      <c r="P8" s="11"/>
      <c r="Q8" s="11"/>
      <c r="R8" s="11"/>
    </row>
    <row r="9" spans="1:18" ht="28.5" x14ac:dyDescent="0.45">
      <c r="A9" s="8" t="s">
        <v>16</v>
      </c>
      <c r="B9" s="8">
        <f t="shared" ca="1" si="1"/>
        <v>50742</v>
      </c>
      <c r="C9" s="8">
        <f t="shared" ca="1" si="2"/>
        <v>571</v>
      </c>
      <c r="D9" s="8" t="str">
        <f t="shared" ca="1" si="0"/>
        <v>Eligible</v>
      </c>
      <c r="N9" s="11"/>
      <c r="O9" s="11"/>
      <c r="P9" s="11"/>
      <c r="Q9" s="11"/>
      <c r="R9" s="11"/>
    </row>
    <row r="10" spans="1:18" ht="28.5" x14ac:dyDescent="0.45">
      <c r="A10" s="8" t="s">
        <v>13</v>
      </c>
      <c r="B10" s="8">
        <f t="shared" ca="1" si="1"/>
        <v>46686</v>
      </c>
      <c r="C10" s="8">
        <f t="shared" ca="1" si="2"/>
        <v>607</v>
      </c>
      <c r="D10" s="8" t="str">
        <f t="shared" ca="1" si="0"/>
        <v>Eligible</v>
      </c>
      <c r="N10" s="11"/>
      <c r="O10" s="11"/>
      <c r="P10" s="11"/>
      <c r="Q10" s="11"/>
      <c r="R10" s="11"/>
    </row>
    <row r="11" spans="1:18" ht="28.5" x14ac:dyDescent="0.45">
      <c r="A11" s="8" t="s">
        <v>14</v>
      </c>
      <c r="B11" s="8">
        <f t="shared" ca="1" si="1"/>
        <v>42206</v>
      </c>
      <c r="C11" s="8">
        <f t="shared" ca="1" si="2"/>
        <v>758</v>
      </c>
      <c r="D11" s="8" t="str">
        <f t="shared" ca="1" si="0"/>
        <v>Eligible</v>
      </c>
    </row>
    <row r="12" spans="1:18" ht="28.5" x14ac:dyDescent="0.45">
      <c r="A12" s="8" t="s">
        <v>15</v>
      </c>
      <c r="B12" s="8">
        <f t="shared" ca="1" si="1"/>
        <v>49397</v>
      </c>
      <c r="C12" s="8">
        <f t="shared" ca="1" si="2"/>
        <v>553</v>
      </c>
      <c r="D12" s="8" t="str">
        <f t="shared" ca="1" si="0"/>
        <v>Eligible</v>
      </c>
    </row>
    <row r="13" spans="1:18" ht="28.5" x14ac:dyDescent="0.45">
      <c r="A13" s="8" t="s">
        <v>16</v>
      </c>
      <c r="B13" s="8">
        <f t="shared" ca="1" si="1"/>
        <v>25255</v>
      </c>
      <c r="C13" s="8">
        <f t="shared" ca="1" si="2"/>
        <v>700</v>
      </c>
      <c r="D13" s="8" t="str">
        <f t="shared" ca="1" si="0"/>
        <v>Eligible</v>
      </c>
    </row>
    <row r="14" spans="1:18" ht="28.5" x14ac:dyDescent="0.45">
      <c r="A14" s="8" t="s">
        <v>13</v>
      </c>
      <c r="B14" s="8">
        <f t="shared" ca="1" si="1"/>
        <v>48831</v>
      </c>
      <c r="C14" s="8">
        <f t="shared" ca="1" si="2"/>
        <v>708</v>
      </c>
      <c r="D14" s="8" t="str">
        <f t="shared" ca="1" si="0"/>
        <v>Eligible</v>
      </c>
    </row>
    <row r="15" spans="1:18" ht="28.5" x14ac:dyDescent="0.45">
      <c r="A15" s="8" t="s">
        <v>14</v>
      </c>
      <c r="B15" s="8">
        <f t="shared" ca="1" si="1"/>
        <v>33583</v>
      </c>
      <c r="C15" s="8">
        <f t="shared" ca="1" si="2"/>
        <v>516</v>
      </c>
      <c r="D15" s="8" t="str">
        <f t="shared" ca="1" si="0"/>
        <v>Rejected</v>
      </c>
    </row>
    <row r="16" spans="1:18" ht="28.5" x14ac:dyDescent="0.45">
      <c r="A16" s="8" t="s">
        <v>15</v>
      </c>
      <c r="B16" s="8">
        <f t="shared" ca="1" si="1"/>
        <v>23438</v>
      </c>
      <c r="C16" s="8">
        <f t="shared" ca="1" si="2"/>
        <v>597</v>
      </c>
      <c r="D16" s="8" t="str">
        <f t="shared" ca="1" si="0"/>
        <v>Rejected</v>
      </c>
    </row>
  </sheetData>
  <mergeCells count="1">
    <mergeCell ref="N4:R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F7710-AFEC-4A8A-B39E-3B25F6C14B7F}">
  <dimension ref="A1:T16"/>
  <sheetViews>
    <sheetView workbookViewId="0">
      <selection activeCell="G7" sqref="G7"/>
    </sheetView>
  </sheetViews>
  <sheetFormatPr defaultRowHeight="15" x14ac:dyDescent="0.25"/>
  <cols>
    <col min="1" max="1" width="17" customWidth="1"/>
    <col min="2" max="2" width="21.5703125" customWidth="1"/>
    <col min="3" max="3" width="19.5703125" customWidth="1"/>
  </cols>
  <sheetData>
    <row r="1" spans="1:20" ht="31.5" x14ac:dyDescent="0.5">
      <c r="A1" s="9" t="s">
        <v>20</v>
      </c>
      <c r="B1" s="9" t="s">
        <v>42</v>
      </c>
      <c r="C1" s="9" t="s">
        <v>43</v>
      </c>
    </row>
    <row r="2" spans="1:20" ht="31.5" x14ac:dyDescent="0.5">
      <c r="A2" s="9" t="s">
        <v>4</v>
      </c>
      <c r="B2" s="9" t="b">
        <v>1</v>
      </c>
      <c r="C2" s="9" t="str">
        <f>IF(NOT(B2),"Absent","Present")</f>
        <v>Present</v>
      </c>
    </row>
    <row r="3" spans="1:20" ht="31.5" x14ac:dyDescent="0.5">
      <c r="A3" s="9" t="s">
        <v>5</v>
      </c>
      <c r="B3" s="9" t="b">
        <v>0</v>
      </c>
      <c r="C3" s="9" t="str">
        <f t="shared" ref="C3:C16" si="0">IF(NOT(B3),"Absent","Present")</f>
        <v>Absent</v>
      </c>
    </row>
    <row r="4" spans="1:20" ht="31.5" x14ac:dyDescent="0.5">
      <c r="A4" s="9" t="s">
        <v>6</v>
      </c>
      <c r="B4" s="9" t="b">
        <v>1</v>
      </c>
      <c r="C4" s="9" t="str">
        <f t="shared" si="0"/>
        <v>Present</v>
      </c>
    </row>
    <row r="5" spans="1:20" ht="31.5" x14ac:dyDescent="0.5">
      <c r="A5" s="9" t="s">
        <v>7</v>
      </c>
      <c r="B5" s="9" t="b">
        <v>0</v>
      </c>
      <c r="C5" s="9" t="str">
        <f t="shared" si="0"/>
        <v>Absent</v>
      </c>
      <c r="Q5" s="10" t="s">
        <v>44</v>
      </c>
      <c r="R5" s="11"/>
      <c r="S5" s="11"/>
      <c r="T5" s="11"/>
    </row>
    <row r="6" spans="1:20" ht="31.5" x14ac:dyDescent="0.5">
      <c r="A6" s="9" t="s">
        <v>4</v>
      </c>
      <c r="B6" s="9" t="b">
        <v>1</v>
      </c>
      <c r="C6" s="9" t="str">
        <f t="shared" si="0"/>
        <v>Present</v>
      </c>
      <c r="Q6" s="11"/>
      <c r="R6" s="11"/>
      <c r="S6" s="11"/>
      <c r="T6" s="11"/>
    </row>
    <row r="7" spans="1:20" ht="31.5" x14ac:dyDescent="0.5">
      <c r="A7" s="9" t="s">
        <v>5</v>
      </c>
      <c r="B7" s="9" t="b">
        <v>0</v>
      </c>
      <c r="C7" s="9" t="str">
        <f t="shared" si="0"/>
        <v>Absent</v>
      </c>
      <c r="Q7" s="11"/>
      <c r="R7" s="11"/>
      <c r="S7" s="11"/>
      <c r="T7" s="11"/>
    </row>
    <row r="8" spans="1:20" ht="31.5" x14ac:dyDescent="0.5">
      <c r="A8" s="9" t="s">
        <v>6</v>
      </c>
      <c r="B8" s="9" t="b">
        <v>1</v>
      </c>
      <c r="C8" s="9" t="str">
        <f t="shared" si="0"/>
        <v>Present</v>
      </c>
      <c r="Q8" s="11"/>
      <c r="R8" s="11"/>
      <c r="S8" s="11"/>
      <c r="T8" s="11"/>
    </row>
    <row r="9" spans="1:20" ht="31.5" x14ac:dyDescent="0.5">
      <c r="A9" s="9" t="s">
        <v>7</v>
      </c>
      <c r="B9" s="9" t="b">
        <v>0</v>
      </c>
      <c r="C9" s="9" t="str">
        <f t="shared" si="0"/>
        <v>Absent</v>
      </c>
      <c r="Q9" s="11"/>
      <c r="R9" s="11"/>
      <c r="S9" s="11"/>
      <c r="T9" s="11"/>
    </row>
    <row r="10" spans="1:20" ht="31.5" x14ac:dyDescent="0.5">
      <c r="A10" s="9" t="s">
        <v>4</v>
      </c>
      <c r="B10" s="9" t="b">
        <v>1</v>
      </c>
      <c r="C10" s="9" t="str">
        <f t="shared" si="0"/>
        <v>Present</v>
      </c>
      <c r="Q10" s="11"/>
      <c r="R10" s="11"/>
      <c r="S10" s="11"/>
      <c r="T10" s="11"/>
    </row>
    <row r="11" spans="1:20" ht="31.5" x14ac:dyDescent="0.5">
      <c r="A11" s="9" t="s">
        <v>5</v>
      </c>
      <c r="B11" s="9" t="b">
        <v>0</v>
      </c>
      <c r="C11" s="9" t="str">
        <f t="shared" si="0"/>
        <v>Absent</v>
      </c>
      <c r="Q11" s="11"/>
      <c r="R11" s="11"/>
      <c r="S11" s="11"/>
      <c r="T11" s="11"/>
    </row>
    <row r="12" spans="1:20" ht="31.5" x14ac:dyDescent="0.5">
      <c r="A12" s="9" t="s">
        <v>6</v>
      </c>
      <c r="B12" s="9" t="b">
        <v>1</v>
      </c>
      <c r="C12" s="9" t="str">
        <f t="shared" si="0"/>
        <v>Present</v>
      </c>
    </row>
    <row r="13" spans="1:20" ht="31.5" x14ac:dyDescent="0.5">
      <c r="A13" s="9" t="s">
        <v>7</v>
      </c>
      <c r="B13" s="9" t="b">
        <v>0</v>
      </c>
      <c r="C13" s="9" t="str">
        <f t="shared" si="0"/>
        <v>Absent</v>
      </c>
    </row>
    <row r="14" spans="1:20" ht="31.5" x14ac:dyDescent="0.5">
      <c r="A14" s="9" t="s">
        <v>4</v>
      </c>
      <c r="B14" s="9" t="b">
        <v>1</v>
      </c>
      <c r="C14" s="9" t="str">
        <f t="shared" si="0"/>
        <v>Present</v>
      </c>
    </row>
    <row r="15" spans="1:20" ht="31.5" x14ac:dyDescent="0.5">
      <c r="A15" s="9" t="s">
        <v>5</v>
      </c>
      <c r="B15" s="9" t="b">
        <v>0</v>
      </c>
      <c r="C15" s="9" t="str">
        <f t="shared" si="0"/>
        <v>Absent</v>
      </c>
    </row>
    <row r="16" spans="1:20" ht="31.5" x14ac:dyDescent="0.5">
      <c r="A16" s="9" t="s">
        <v>6</v>
      </c>
      <c r="B16" s="9" t="b">
        <v>1</v>
      </c>
      <c r="C16" s="9" t="str">
        <f t="shared" si="0"/>
        <v>Present</v>
      </c>
    </row>
  </sheetData>
  <mergeCells count="1">
    <mergeCell ref="Q5:T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6673C-11CC-4A2E-92A2-27E454534DA5}">
  <dimension ref="A1:S16"/>
  <sheetViews>
    <sheetView tabSelected="1" workbookViewId="0">
      <selection activeCell="K14" sqref="K14"/>
    </sheetView>
  </sheetViews>
  <sheetFormatPr defaultRowHeight="15" x14ac:dyDescent="0.25"/>
  <cols>
    <col min="1" max="1" width="13.42578125" customWidth="1"/>
    <col min="2" max="2" width="16" customWidth="1"/>
    <col min="3" max="3" width="14.5703125" customWidth="1"/>
  </cols>
  <sheetData>
    <row r="1" spans="1:19" ht="35.25" thickBot="1" x14ac:dyDescent="0.3">
      <c r="A1" s="1" t="s">
        <v>45</v>
      </c>
      <c r="B1" s="1" t="s">
        <v>46</v>
      </c>
      <c r="C1" s="1" t="s">
        <v>3</v>
      </c>
    </row>
    <row r="2" spans="1:19" ht="18" thickBot="1" x14ac:dyDescent="0.3">
      <c r="A2" s="2">
        <v>10</v>
      </c>
      <c r="B2" s="2">
        <v>2</v>
      </c>
      <c r="C2" s="2">
        <f>IFERROR(A2/B2,"INVALID")</f>
        <v>5</v>
      </c>
    </row>
    <row r="3" spans="1:19" ht="18" thickBot="1" x14ac:dyDescent="0.3">
      <c r="A3" s="3">
        <v>15</v>
      </c>
      <c r="B3" s="3">
        <v>0</v>
      </c>
      <c r="C3" s="2" t="str">
        <f t="shared" ref="C3:C16" si="0">IFERROR(A3/B3,"INVALID")</f>
        <v>INVALID</v>
      </c>
    </row>
    <row r="4" spans="1:19" ht="18" thickBot="1" x14ac:dyDescent="0.3">
      <c r="A4" s="2">
        <v>20</v>
      </c>
      <c r="B4" s="2">
        <v>5</v>
      </c>
      <c r="C4" s="2">
        <f t="shared" si="0"/>
        <v>4</v>
      </c>
    </row>
    <row r="5" spans="1:19" ht="18" thickBot="1" x14ac:dyDescent="0.3">
      <c r="A5" s="3">
        <v>8</v>
      </c>
      <c r="B5" s="3">
        <v>0</v>
      </c>
      <c r="C5" s="2" t="str">
        <f t="shared" si="0"/>
        <v>INVALID</v>
      </c>
      <c r="O5" s="10" t="s">
        <v>47</v>
      </c>
      <c r="P5" s="11"/>
      <c r="Q5" s="11"/>
      <c r="R5" s="11"/>
      <c r="S5" s="11"/>
    </row>
    <row r="6" spans="1:19" ht="18" thickBot="1" x14ac:dyDescent="0.3">
      <c r="A6" s="2">
        <f ca="1">RANDBETWEEN(8,25)</f>
        <v>25</v>
      </c>
      <c r="B6" s="2">
        <f ca="1">RANDBETWEEN(0,8)</f>
        <v>7</v>
      </c>
      <c r="C6" s="2">
        <f t="shared" ca="1" si="0"/>
        <v>3.5714285714285716</v>
      </c>
      <c r="O6" s="11"/>
      <c r="P6" s="11"/>
      <c r="Q6" s="11"/>
      <c r="R6" s="11"/>
      <c r="S6" s="11"/>
    </row>
    <row r="7" spans="1:19" ht="18" thickBot="1" x14ac:dyDescent="0.3">
      <c r="A7" s="2">
        <f t="shared" ref="A7:A16" ca="1" si="1">RANDBETWEEN(8,25)</f>
        <v>8</v>
      </c>
      <c r="B7" s="2">
        <f t="shared" ref="B7:B16" ca="1" si="2">RANDBETWEEN(0,8)</f>
        <v>7</v>
      </c>
      <c r="C7" s="2">
        <f t="shared" ca="1" si="0"/>
        <v>1.1428571428571428</v>
      </c>
      <c r="O7" s="11"/>
      <c r="P7" s="11"/>
      <c r="Q7" s="11"/>
      <c r="R7" s="11"/>
      <c r="S7" s="11"/>
    </row>
    <row r="8" spans="1:19" ht="18" thickBot="1" x14ac:dyDescent="0.3">
      <c r="A8" s="2">
        <f t="shared" ca="1" si="1"/>
        <v>12</v>
      </c>
      <c r="B8" s="2">
        <f t="shared" ca="1" si="2"/>
        <v>2</v>
      </c>
      <c r="C8" s="2">
        <f t="shared" ca="1" si="0"/>
        <v>6</v>
      </c>
      <c r="O8" s="11"/>
      <c r="P8" s="11"/>
      <c r="Q8" s="11"/>
      <c r="R8" s="11"/>
      <c r="S8" s="11"/>
    </row>
    <row r="9" spans="1:19" ht="18" thickBot="1" x14ac:dyDescent="0.3">
      <c r="A9" s="2">
        <f t="shared" ca="1" si="1"/>
        <v>11</v>
      </c>
      <c r="B9" s="2">
        <f t="shared" ca="1" si="2"/>
        <v>5</v>
      </c>
      <c r="C9" s="2">
        <f t="shared" ca="1" si="0"/>
        <v>2.2000000000000002</v>
      </c>
      <c r="O9" s="11"/>
      <c r="P9" s="11"/>
      <c r="Q9" s="11"/>
      <c r="R9" s="11"/>
      <c r="S9" s="11"/>
    </row>
    <row r="10" spans="1:19" ht="18" thickBot="1" x14ac:dyDescent="0.3">
      <c r="A10" s="2">
        <f t="shared" ca="1" si="1"/>
        <v>8</v>
      </c>
      <c r="B10" s="2">
        <f t="shared" ca="1" si="2"/>
        <v>3</v>
      </c>
      <c r="C10" s="2">
        <f t="shared" ca="1" si="0"/>
        <v>2.6666666666666665</v>
      </c>
      <c r="O10" s="11"/>
      <c r="P10" s="11"/>
      <c r="Q10" s="11"/>
      <c r="R10" s="11"/>
      <c r="S10" s="11"/>
    </row>
    <row r="11" spans="1:19" ht="18" thickBot="1" x14ac:dyDescent="0.3">
      <c r="A11" s="2">
        <f t="shared" ca="1" si="1"/>
        <v>23</v>
      </c>
      <c r="B11" s="2">
        <f t="shared" ca="1" si="2"/>
        <v>3</v>
      </c>
      <c r="C11" s="2">
        <f t="shared" ca="1" si="0"/>
        <v>7.666666666666667</v>
      </c>
      <c r="O11" s="11"/>
      <c r="P11" s="11"/>
      <c r="Q11" s="11"/>
      <c r="R11" s="11"/>
      <c r="S11" s="11"/>
    </row>
    <row r="12" spans="1:19" ht="18" thickBot="1" x14ac:dyDescent="0.3">
      <c r="A12" s="2">
        <f t="shared" ca="1" si="1"/>
        <v>18</v>
      </c>
      <c r="B12" s="2">
        <f t="shared" ca="1" si="2"/>
        <v>6</v>
      </c>
      <c r="C12" s="2">
        <f t="shared" ca="1" si="0"/>
        <v>3</v>
      </c>
      <c r="O12" s="11"/>
      <c r="P12" s="11"/>
      <c r="Q12" s="11"/>
      <c r="R12" s="11"/>
      <c r="S12" s="11"/>
    </row>
    <row r="13" spans="1:19" ht="18" thickBot="1" x14ac:dyDescent="0.3">
      <c r="A13" s="2">
        <f t="shared" ca="1" si="1"/>
        <v>24</v>
      </c>
      <c r="B13" s="2">
        <f t="shared" ca="1" si="2"/>
        <v>4</v>
      </c>
      <c r="C13" s="2">
        <f t="shared" ca="1" si="0"/>
        <v>6</v>
      </c>
      <c r="O13" s="11"/>
      <c r="P13" s="11"/>
      <c r="Q13" s="11"/>
      <c r="R13" s="11"/>
      <c r="S13" s="11"/>
    </row>
    <row r="14" spans="1:19" ht="18" thickBot="1" x14ac:dyDescent="0.3">
      <c r="A14" s="2">
        <f t="shared" ca="1" si="1"/>
        <v>20</v>
      </c>
      <c r="B14" s="2">
        <f t="shared" ca="1" si="2"/>
        <v>0</v>
      </c>
      <c r="C14" s="2" t="str">
        <f t="shared" ca="1" si="0"/>
        <v>INVALID</v>
      </c>
      <c r="O14" s="11"/>
      <c r="P14" s="11"/>
      <c r="Q14" s="11"/>
      <c r="R14" s="11"/>
      <c r="S14" s="11"/>
    </row>
    <row r="15" spans="1:19" ht="18" thickBot="1" x14ac:dyDescent="0.3">
      <c r="A15" s="2">
        <f t="shared" ca="1" si="1"/>
        <v>20</v>
      </c>
      <c r="B15" s="2">
        <f t="shared" ca="1" si="2"/>
        <v>4</v>
      </c>
      <c r="C15" s="2">
        <f t="shared" ca="1" si="0"/>
        <v>5</v>
      </c>
    </row>
    <row r="16" spans="1:19" ht="18" thickBot="1" x14ac:dyDescent="0.3">
      <c r="A16" s="2">
        <f t="shared" ca="1" si="1"/>
        <v>22</v>
      </c>
      <c r="B16" s="2">
        <f t="shared" ca="1" si="2"/>
        <v>1</v>
      </c>
      <c r="C16" s="2">
        <f t="shared" ca="1" si="0"/>
        <v>22</v>
      </c>
    </row>
  </sheetData>
  <mergeCells count="1">
    <mergeCell ref="O5:S1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C0EC0-4D61-4227-8A6A-2C895DE38AD8}">
  <dimension ref="A1:Q16"/>
  <sheetViews>
    <sheetView workbookViewId="0">
      <selection activeCell="E1" sqref="E1"/>
    </sheetView>
  </sheetViews>
  <sheetFormatPr defaultRowHeight="15" x14ac:dyDescent="0.25"/>
  <cols>
    <col min="1" max="1" width="15.140625" customWidth="1"/>
    <col min="2" max="2" width="17.28515625" customWidth="1"/>
    <col min="3" max="3" width="13.5703125" customWidth="1"/>
    <col min="4" max="4" width="30" customWidth="1"/>
  </cols>
  <sheetData>
    <row r="1" spans="1:17" ht="69.75" thickBot="1" x14ac:dyDescent="0.3">
      <c r="A1" s="1" t="s">
        <v>10</v>
      </c>
      <c r="B1" s="1" t="s">
        <v>48</v>
      </c>
      <c r="C1" s="1" t="s">
        <v>25</v>
      </c>
      <c r="D1" s="1" t="s">
        <v>49</v>
      </c>
    </row>
    <row r="2" spans="1:17" ht="18" thickBot="1" x14ac:dyDescent="0.3">
      <c r="A2" s="2" t="s">
        <v>50</v>
      </c>
      <c r="B2" s="6">
        <v>45</v>
      </c>
      <c r="C2" s="6">
        <v>92</v>
      </c>
      <c r="D2" s="2" t="str">
        <f>IF(AND(C2&gt;=90,B2&gt;=40),"EXCELLENT",IF(C2&gt;=80,"GOOD","NEEDS IMPROVEMENT"))</f>
        <v>EXCELLENT</v>
      </c>
    </row>
    <row r="3" spans="1:17" ht="18" thickBot="1" x14ac:dyDescent="0.3">
      <c r="A3" s="3" t="s">
        <v>51</v>
      </c>
      <c r="B3" s="7">
        <v>38</v>
      </c>
      <c r="C3" s="7">
        <v>85</v>
      </c>
      <c r="D3" s="2" t="str">
        <f t="shared" ref="D3:D16" si="0">IF(AND(C3&gt;=90,B3&gt;=40),"EXCELLENT",IF(C3&gt;=80,"GOOD","NEEDS IMPROVEMENT"))</f>
        <v>GOOD</v>
      </c>
    </row>
    <row r="4" spans="1:17" ht="18" thickBot="1" x14ac:dyDescent="0.3">
      <c r="A4" s="2" t="s">
        <v>52</v>
      </c>
      <c r="B4" s="6">
        <v>50</v>
      </c>
      <c r="C4" s="6">
        <v>95</v>
      </c>
      <c r="D4" s="2" t="str">
        <f t="shared" si="0"/>
        <v>EXCELLENT</v>
      </c>
    </row>
    <row r="5" spans="1:17" ht="18" thickBot="1" x14ac:dyDescent="0.3">
      <c r="A5" s="3" t="s">
        <v>53</v>
      </c>
      <c r="B5" s="7">
        <v>30</v>
      </c>
      <c r="C5" s="7">
        <v>70</v>
      </c>
      <c r="D5" s="2" t="str">
        <f t="shared" si="0"/>
        <v>NEEDS IMPROVEMENT</v>
      </c>
      <c r="M5" s="10" t="s">
        <v>54</v>
      </c>
      <c r="N5" s="11"/>
      <c r="O5" s="11"/>
      <c r="P5" s="11"/>
      <c r="Q5" s="11"/>
    </row>
    <row r="6" spans="1:17" ht="18" thickBot="1" x14ac:dyDescent="0.3">
      <c r="A6" s="2" t="s">
        <v>50</v>
      </c>
      <c r="B6" s="4">
        <f ca="1">RANDBETWEEN(30,50)</f>
        <v>30</v>
      </c>
      <c r="C6" s="4">
        <f ca="1">RANDBETWEEN(70,99)</f>
        <v>97</v>
      </c>
      <c r="D6" s="2" t="str">
        <f t="shared" ca="1" si="0"/>
        <v>GOOD</v>
      </c>
      <c r="M6" s="11"/>
      <c r="N6" s="11"/>
      <c r="O6" s="11"/>
      <c r="P6" s="11"/>
      <c r="Q6" s="11"/>
    </row>
    <row r="7" spans="1:17" ht="18" thickBot="1" x14ac:dyDescent="0.3">
      <c r="A7" s="3" t="s">
        <v>51</v>
      </c>
      <c r="B7" s="4">
        <f t="shared" ref="B7:B16" ca="1" si="1">RANDBETWEEN(30,50)</f>
        <v>34</v>
      </c>
      <c r="C7" s="4">
        <f t="shared" ref="C7:C16" ca="1" si="2">RANDBETWEEN(70,99)</f>
        <v>74</v>
      </c>
      <c r="D7" s="2" t="str">
        <f t="shared" ca="1" si="0"/>
        <v>NEEDS IMPROVEMENT</v>
      </c>
      <c r="M7" s="11"/>
      <c r="N7" s="11"/>
      <c r="O7" s="11"/>
      <c r="P7" s="11"/>
      <c r="Q7" s="11"/>
    </row>
    <row r="8" spans="1:17" ht="18" thickBot="1" x14ac:dyDescent="0.3">
      <c r="A8" s="2" t="s">
        <v>52</v>
      </c>
      <c r="B8" s="4">
        <f t="shared" ca="1" si="1"/>
        <v>43</v>
      </c>
      <c r="C8" s="4">
        <f t="shared" ca="1" si="2"/>
        <v>78</v>
      </c>
      <c r="D8" s="2" t="str">
        <f t="shared" ca="1" si="0"/>
        <v>NEEDS IMPROVEMENT</v>
      </c>
      <c r="M8" s="11"/>
      <c r="N8" s="11"/>
      <c r="O8" s="11"/>
      <c r="P8" s="11"/>
      <c r="Q8" s="11"/>
    </row>
    <row r="9" spans="1:17" ht="18" thickBot="1" x14ac:dyDescent="0.3">
      <c r="A9" s="3" t="s">
        <v>53</v>
      </c>
      <c r="B9" s="4">
        <f t="shared" ca="1" si="1"/>
        <v>36</v>
      </c>
      <c r="C9" s="4">
        <f t="shared" ca="1" si="2"/>
        <v>82</v>
      </c>
      <c r="D9" s="2" t="str">
        <f t="shared" ca="1" si="0"/>
        <v>GOOD</v>
      </c>
      <c r="M9" s="11"/>
      <c r="N9" s="11"/>
      <c r="O9" s="11"/>
      <c r="P9" s="11"/>
      <c r="Q9" s="11"/>
    </row>
    <row r="10" spans="1:17" ht="18" thickBot="1" x14ac:dyDescent="0.3">
      <c r="A10" s="2" t="s">
        <v>50</v>
      </c>
      <c r="B10" s="4">
        <f t="shared" ca="1" si="1"/>
        <v>50</v>
      </c>
      <c r="C10" s="4">
        <f t="shared" ca="1" si="2"/>
        <v>71</v>
      </c>
      <c r="D10" s="2" t="str">
        <f t="shared" ca="1" si="0"/>
        <v>NEEDS IMPROVEMENT</v>
      </c>
      <c r="M10" s="11"/>
      <c r="N10" s="11"/>
      <c r="O10" s="11"/>
      <c r="P10" s="11"/>
      <c r="Q10" s="11"/>
    </row>
    <row r="11" spans="1:17" ht="18" thickBot="1" x14ac:dyDescent="0.3">
      <c r="A11" s="3" t="s">
        <v>51</v>
      </c>
      <c r="B11" s="4">
        <f t="shared" ca="1" si="1"/>
        <v>49</v>
      </c>
      <c r="C11" s="4">
        <f t="shared" ca="1" si="2"/>
        <v>85</v>
      </c>
      <c r="D11" s="2" t="str">
        <f t="shared" ca="1" si="0"/>
        <v>GOOD</v>
      </c>
      <c r="M11" s="11"/>
      <c r="N11" s="11"/>
      <c r="O11" s="11"/>
      <c r="P11" s="11"/>
      <c r="Q11" s="11"/>
    </row>
    <row r="12" spans="1:17" ht="18" thickBot="1" x14ac:dyDescent="0.3">
      <c r="A12" s="2" t="s">
        <v>52</v>
      </c>
      <c r="B12" s="4">
        <f t="shared" ca="1" si="1"/>
        <v>43</v>
      </c>
      <c r="C12" s="4">
        <f t="shared" ca="1" si="2"/>
        <v>95</v>
      </c>
      <c r="D12" s="2" t="str">
        <f t="shared" ca="1" si="0"/>
        <v>EXCELLENT</v>
      </c>
      <c r="M12" s="11"/>
      <c r="N12" s="11"/>
      <c r="O12" s="11"/>
      <c r="P12" s="11"/>
      <c r="Q12" s="11"/>
    </row>
    <row r="13" spans="1:17" ht="18" thickBot="1" x14ac:dyDescent="0.3">
      <c r="A13" s="3" t="s">
        <v>53</v>
      </c>
      <c r="B13" s="4">
        <f t="shared" ca="1" si="1"/>
        <v>31</v>
      </c>
      <c r="C13" s="4">
        <f t="shared" ca="1" si="2"/>
        <v>75</v>
      </c>
      <c r="D13" s="2" t="str">
        <f t="shared" ca="1" si="0"/>
        <v>NEEDS IMPROVEMENT</v>
      </c>
    </row>
    <row r="14" spans="1:17" ht="18" thickBot="1" x14ac:dyDescent="0.3">
      <c r="A14" s="2" t="s">
        <v>50</v>
      </c>
      <c r="B14" s="4">
        <f t="shared" ca="1" si="1"/>
        <v>39</v>
      </c>
      <c r="C14" s="4">
        <f t="shared" ca="1" si="2"/>
        <v>99</v>
      </c>
      <c r="D14" s="2" t="str">
        <f t="shared" ca="1" si="0"/>
        <v>GOOD</v>
      </c>
    </row>
    <row r="15" spans="1:17" ht="18" thickBot="1" x14ac:dyDescent="0.3">
      <c r="A15" s="3" t="s">
        <v>51</v>
      </c>
      <c r="B15" s="4">
        <f t="shared" ca="1" si="1"/>
        <v>45</v>
      </c>
      <c r="C15" s="4">
        <f t="shared" ca="1" si="2"/>
        <v>96</v>
      </c>
      <c r="D15" s="2" t="str">
        <f t="shared" ca="1" si="0"/>
        <v>EXCELLENT</v>
      </c>
    </row>
    <row r="16" spans="1:17" ht="18" thickBot="1" x14ac:dyDescent="0.3">
      <c r="A16" s="2" t="s">
        <v>52</v>
      </c>
      <c r="B16" s="4">
        <f t="shared" ca="1" si="1"/>
        <v>34</v>
      </c>
      <c r="C16" s="4">
        <f t="shared" ca="1" si="2"/>
        <v>74</v>
      </c>
      <c r="D16" s="2" t="str">
        <f t="shared" ca="1" si="0"/>
        <v>NEEDS IMPROVEMENT</v>
      </c>
    </row>
  </sheetData>
  <mergeCells count="1">
    <mergeCell ref="M5:Q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</dc:creator>
  <cp:lastModifiedBy>ASDC1</cp:lastModifiedBy>
  <dcterms:created xsi:type="dcterms:W3CDTF">2026-01-25T05:42:47Z</dcterms:created>
  <dcterms:modified xsi:type="dcterms:W3CDTF">2026-01-25T07:31:05Z</dcterms:modified>
</cp:coreProperties>
</file>