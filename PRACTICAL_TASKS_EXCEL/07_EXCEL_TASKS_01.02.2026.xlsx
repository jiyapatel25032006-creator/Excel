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\Desktop\Jiya_Github\Excel\"/>
    </mc:Choice>
  </mc:AlternateContent>
  <xr:revisionPtr revIDLastSave="0" documentId="13_ncr:1_{DF20A94B-8CCC-4820-BD99-4EAF3914B700}" xr6:coauthVersionLast="47" xr6:coauthVersionMax="47" xr10:uidLastSave="{00000000-0000-0000-0000-000000000000}"/>
  <bookViews>
    <workbookView xWindow="-120" yWindow="-120" windowWidth="29040" windowHeight="15720" activeTab="2" xr2:uid="{67626CB9-6A43-470F-930A-AA301D2E6489}"/>
  </bookViews>
  <sheets>
    <sheet name="VLOOKUP" sheetId="1" r:id="rId1"/>
    <sheet name="HLOOKUP" sheetId="2" r:id="rId2"/>
    <sheet name="XLOOKU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5" i="3" l="1"/>
  <c r="D17" i="3"/>
  <c r="C15" i="3"/>
  <c r="F16" i="3"/>
  <c r="D16" i="3"/>
  <c r="E15" i="3"/>
  <c r="D15" i="3"/>
  <c r="C10" i="2"/>
  <c r="D9" i="2"/>
  <c r="N13" i="1"/>
  <c r="C9" i="2"/>
  <c r="E9" i="2" s="1"/>
  <c r="O14" i="1"/>
  <c r="N11" i="1"/>
  <c r="N12" i="1"/>
  <c r="N10" i="1"/>
  <c r="M12" i="1"/>
  <c r="L11" i="1"/>
  <c r="K11" i="1"/>
  <c r="J11" i="1"/>
  <c r="K10" i="1"/>
  <c r="J10" i="1"/>
</calcChain>
</file>

<file path=xl/sharedStrings.xml><?xml version="1.0" encoding="utf-8"?>
<sst xmlns="http://schemas.openxmlformats.org/spreadsheetml/2006/main" count="156" uniqueCount="47">
  <si>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</si>
  <si>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</si>
  <si>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</si>
  <si>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</si>
  <si>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</si>
  <si>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</si>
  <si>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</si>
  <si>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</si>
  <si>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</si>
  <si>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</si>
  <si>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</si>
  <si>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</si>
  <si>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</si>
  <si>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</si>
  <si>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</si>
  <si>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</si>
  <si>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</si>
  <si>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</si>
  <si>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</si>
  <si>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</si>
  <si>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</si>
  <si>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</si>
  <si>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</si>
  <si>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</si>
  <si>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</si>
  <si>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</si>
  <si>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</si>
  <si>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</si>
  <si>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</si>
  <si>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</si>
  <si>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</si>
  <si>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</si>
  <si>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</si>
  <si>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Bonus %</t>
  </si>
  <si>
    <t>EMPLOYEE ID</t>
  </si>
  <si>
    <t>NAME</t>
  </si>
  <si>
    <t>DEPARTMENT</t>
  </si>
  <si>
    <t>SALARY</t>
  </si>
  <si>
    <t>LOCATION</t>
  </si>
  <si>
    <t>JOINING YEAR</t>
  </si>
  <si>
    <t>BONUS</t>
  </si>
  <si>
    <t>FINANCE</t>
  </si>
  <si>
    <t>BONUS AMOUNT</t>
  </si>
  <si>
    <t>EC</t>
  </si>
  <si>
    <t>EMPLOYEE NAME</t>
  </si>
  <si>
    <t>E999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</si>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</sst>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11"/>
      <color rgb="FF1F2328"/>
      <name val="Segoe UI"/>
      <family val="2"/>
    </font>
    <font>
      <sz val="11"/>
      <color rgb="FF1F2328"/>
      <name val="Segoe UI"/>
      <family val="2"/>
    </font>
    <font>
      <sz val="9"/>
      <color rgb="FF1F2328"/>
      <name val="Segoe UI"/>
      <family val="2"/>
    </font>
    <font>
      <sz val="9"/>
      <color rgb="FF1F232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3" fillId="2" borderId="1" xfId="0" applyFont="1" applyFill="1" applyBorder="1" applyAlignment="1">
      <alignment horizontal="right" vertical="center" wrapText="1" inden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right" vertical="center" wrapText="1" inden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right" vertical="center" wrapText="1" indent="1"/>
    </xf>
    <xf numFmtId="0" fontId="6" fillId="2" borderId="1" xfId="0" applyFont="1" applyFill="1" applyBorder="1" applyAlignment="1">
      <alignment horizontal="left" vertical="center" wrapText="1" indent="1"/>
    </xf>
    <xf numFmtId="0" fontId="6" fillId="3" borderId="1" xfId="0" applyFont="1" applyFill="1" applyBorder="1" applyAlignment="1">
      <alignment horizontal="right" vertical="center" wrapText="1" indent="1"/>
    </xf>
    <xf numFmtId="0" fontId="6" fillId="3" borderId="1" xfId="0" applyFont="1" applyFill="1" applyBorder="1" applyAlignment="1">
      <alignment horizontal="left" vertical="center" wrapText="1" indent="1"/>
    </xf>
    <xf numFmtId="9" fontId="4" fillId="2" borderId="1" xfId="0" applyNumberFormat="1" applyFont="1" applyFill="1" applyBorder="1" applyAlignment="1">
      <alignment horizontal="right" vertical="center" wrapText="1" indent="1"/>
    </xf>
    <xf numFmtId="9" fontId="6" fillId="2" borderId="1" xfId="0" applyNumberFormat="1" applyFont="1" applyFill="1" applyBorder="1" applyAlignment="1">
      <alignment horizontal="right" vertical="center" wrapText="1" indent="1"/>
    </xf>
    <xf numFmtId="0" fontId="7" fillId="2" borderId="1" xfId="0" applyFont="1" applyFill="1" applyBorder="1" applyAlignment="1">
      <alignment horizontal="right" vertical="center" wrapText="1" inden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right" vertical="center" wrapText="1" indent="1"/>
    </xf>
    <xf numFmtId="0" fontId="8" fillId="2" borderId="1" xfId="0" applyFont="1" applyFill="1" applyBorder="1" applyAlignment="1">
      <alignment horizontal="left" vertical="center" wrapText="1" indent="1"/>
    </xf>
    <xf numFmtId="0" fontId="8" fillId="3" borderId="1" xfId="0" applyFont="1" applyFill="1" applyBorder="1" applyAlignment="1">
      <alignment horizontal="right" vertical="center" wrapText="1" indent="1"/>
    </xf>
    <xf numFmtId="0" fontId="8" fillId="3" borderId="1" xfId="0" applyFont="1" applyFill="1" applyBorder="1" applyAlignment="1">
      <alignment horizontal="left" vertical="center" wrapText="1" indent="1"/>
    </xf>
    <xf numFmtId="0" fontId="2" fillId="4" borderId="2" xfId="0" applyFont="1" applyFill="1" applyBorder="1"/>
    <xf numFmtId="0" fontId="2" fillId="0" borderId="2" xfId="0" applyFont="1" applyBorder="1"/>
    <xf numFmtId="9" fontId="2" fillId="0" borderId="2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42B71-2E3A-435E-AD49-1884FC37C9FF}">
  <dimension ref="A1:T14"/>
  <sheetViews>
    <sheetView workbookViewId="0">
      <selection activeCell="I9" sqref="I9:O14"/>
    </sheetView>
  </sheetViews>
  <sheetFormatPr defaultRowHeight="15" x14ac:dyDescent="0.25"/>
  <cols>
    <col min="1" max="1" width="15.5703125" customWidth="1"/>
    <col min="2" max="2" width="21.140625" customWidth="1"/>
    <col min="3" max="3" width="14.85546875" customWidth="1"/>
    <col min="4" max="4" width="14.7109375" customWidth="1"/>
    <col min="5" max="5" width="12" customWidth="1"/>
    <col min="6" max="6" width="17.7109375" customWidth="1"/>
    <col min="9" max="9" width="12.28515625" customWidth="1"/>
    <col min="10" max="10" width="12.140625" customWidth="1"/>
    <col min="11" max="11" width="16.5703125" customWidth="1"/>
    <col min="13" max="13" width="10.5703125" bestFit="1" customWidth="1"/>
    <col min="14" max="14" width="12.42578125" bestFit="1" customWidth="1"/>
    <col min="15" max="15" width="13.42578125" bestFit="1" customWidth="1"/>
    <col min="16" max="16" width="13.5703125" customWidth="1"/>
    <col min="19" max="19" width="12.42578125" customWidth="1"/>
    <col min="20" max="20" width="11.7109375" customWidth="1"/>
  </cols>
  <sheetData>
    <row r="1" spans="1:20" ht="33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4" t="s">
        <v>5</v>
      </c>
      <c r="S1" s="2"/>
      <c r="T1" s="2"/>
    </row>
    <row r="2" spans="1:20" ht="18" thickBot="1" x14ac:dyDescent="0.3">
      <c r="A2" s="6" t="s">
        <v>6</v>
      </c>
      <c r="B2" s="7" t="s">
        <v>7</v>
      </c>
      <c r="C2" s="7" t="s">
        <v>8</v>
      </c>
      <c r="D2" s="7" t="s">
        <v>9</v>
      </c>
      <c r="E2" s="6">
        <v>45000</v>
      </c>
      <c r="F2" s="6">
        <v>2019</v>
      </c>
      <c r="S2" s="3"/>
      <c r="T2" s="3"/>
    </row>
    <row r="3" spans="1:20" ht="17.25" thickBot="1" x14ac:dyDescent="0.3">
      <c r="A3" s="8" t="s">
        <v>10</v>
      </c>
      <c r="B3" s="9" t="s">
        <v>11</v>
      </c>
      <c r="C3" s="9" t="s">
        <v>12</v>
      </c>
      <c r="D3" s="9" t="s">
        <v>13</v>
      </c>
      <c r="E3" s="8">
        <v>52000</v>
      </c>
      <c r="F3" s="8">
        <v>2018</v>
      </c>
    </row>
    <row r="4" spans="1:20" ht="17.25" thickBot="1" x14ac:dyDescent="0.3">
      <c r="A4" s="6" t="s">
        <v>14</v>
      </c>
      <c r="B4" s="7" t="s">
        <v>15</v>
      </c>
      <c r="C4" s="7" t="s">
        <v>16</v>
      </c>
      <c r="D4" s="7" t="s">
        <v>17</v>
      </c>
      <c r="E4" s="6">
        <v>65000</v>
      </c>
      <c r="F4" s="6">
        <v>2020</v>
      </c>
    </row>
    <row r="5" spans="1:20" ht="17.25" thickBot="1" x14ac:dyDescent="0.3">
      <c r="A5" s="8" t="s">
        <v>18</v>
      </c>
      <c r="B5" s="9" t="s">
        <v>19</v>
      </c>
      <c r="C5" s="9" t="s">
        <v>20</v>
      </c>
      <c r="D5" s="9" t="s">
        <v>21</v>
      </c>
      <c r="E5" s="8">
        <v>58000</v>
      </c>
      <c r="F5" s="8">
        <v>2017</v>
      </c>
    </row>
    <row r="6" spans="1:20" ht="17.25" thickBot="1" x14ac:dyDescent="0.3">
      <c r="A6" s="6" t="s">
        <v>22</v>
      </c>
      <c r="B6" s="7" t="s">
        <v>23</v>
      </c>
      <c r="C6" s="7" t="s">
        <v>24</v>
      </c>
      <c r="D6" s="7" t="s">
        <v>9</v>
      </c>
      <c r="E6" s="6">
        <v>48000</v>
      </c>
      <c r="F6" s="6">
        <v>2021</v>
      </c>
    </row>
    <row r="7" spans="1:20" ht="17.25" thickBot="1" x14ac:dyDescent="0.3">
      <c r="A7" s="8" t="s">
        <v>25</v>
      </c>
      <c r="B7" s="9" t="s">
        <v>26</v>
      </c>
      <c r="C7" s="9" t="s">
        <v>16</v>
      </c>
      <c r="D7" s="9" t="s">
        <v>27</v>
      </c>
      <c r="E7" s="8">
        <v>62000</v>
      </c>
      <c r="F7" s="8">
        <v>2019</v>
      </c>
    </row>
    <row r="8" spans="1:20" ht="17.25" thickBot="1" x14ac:dyDescent="0.3">
      <c r="A8" s="6" t="s">
        <v>28</v>
      </c>
      <c r="B8" s="7" t="s">
        <v>29</v>
      </c>
      <c r="C8" s="7" t="s">
        <v>8</v>
      </c>
      <c r="D8" s="7" t="s">
        <v>30</v>
      </c>
      <c r="E8" s="6">
        <v>47000</v>
      </c>
      <c r="F8" s="6">
        <v>2020</v>
      </c>
    </row>
    <row r="9" spans="1:20" ht="17.25" thickBot="1" x14ac:dyDescent="0.3">
      <c r="A9" s="8" t="s">
        <v>31</v>
      </c>
      <c r="B9" s="9" t="s">
        <v>32</v>
      </c>
      <c r="C9" s="9" t="s">
        <v>12</v>
      </c>
      <c r="D9" s="9" t="s">
        <v>17</v>
      </c>
      <c r="E9" s="8">
        <v>54000</v>
      </c>
      <c r="F9" s="8">
        <v>2016</v>
      </c>
      <c r="I9" s="18" t="s">
        <v>34</v>
      </c>
      <c r="J9" s="18" t="s">
        <v>35</v>
      </c>
      <c r="K9" s="18" t="s">
        <v>36</v>
      </c>
      <c r="L9" s="18" t="s">
        <v>37</v>
      </c>
      <c r="M9" s="18" t="s">
        <v>38</v>
      </c>
      <c r="N9" s="18" t="s">
        <v>34</v>
      </c>
      <c r="O9" s="18" t="s">
        <v>39</v>
      </c>
    </row>
    <row r="10" spans="1:20" x14ac:dyDescent="0.25">
      <c r="I10" s="19" t="s">
        <v>14</v>
      </c>
      <c r="J10" s="19" t="str">
        <f>VLOOKUP(I10,A1:F9,2,0)</f>
        <v>Rohit Verma</v>
      </c>
      <c r="K10" s="19" t="str">
        <f>VLOOKUP(I10,A1:F9,3,0)</f>
        <v>IT</v>
      </c>
      <c r="L10" s="19"/>
      <c r="M10" s="19"/>
      <c r="N10" s="19" t="str">
        <f>IFERROR(VLOOKUP(I10,A1:F9,1,0),"NOT FOUND")</f>
        <v>E103</v>
      </c>
      <c r="O10" s="19"/>
    </row>
    <row r="11" spans="1:20" x14ac:dyDescent="0.25">
      <c r="I11" s="19" t="s">
        <v>18</v>
      </c>
      <c r="J11" s="19" t="str">
        <f>VLOOKUP(I11,A2:F10,2,0)</f>
        <v>Neha Singh</v>
      </c>
      <c r="K11" s="19" t="str">
        <f>VLOOKUP(I11,A2:F10,3,0)</f>
        <v>Finance</v>
      </c>
      <c r="L11" s="19">
        <f>VLOOKUP(I11,A1:F9,5,0)</f>
        <v>58000</v>
      </c>
      <c r="M11" s="19"/>
      <c r="N11" s="19" t="str">
        <f t="shared" ref="N11:N13" si="0">IFERROR(VLOOKUP(I11,A2:F10,1,0),"NOT FOUND")</f>
        <v>E104</v>
      </c>
      <c r="O11" s="19"/>
    </row>
    <row r="12" spans="1:20" x14ac:dyDescent="0.25">
      <c r="I12" s="19" t="s">
        <v>28</v>
      </c>
      <c r="J12" s="19"/>
      <c r="K12" s="19"/>
      <c r="L12" s="19"/>
      <c r="M12" s="19" t="str">
        <f>VLOOKUP(I12,A1:F9,4,0)</f>
        <v>Hyderabad</v>
      </c>
      <c r="N12" s="19" t="str">
        <f t="shared" si="0"/>
        <v>E107</v>
      </c>
      <c r="O12" s="19"/>
    </row>
    <row r="13" spans="1:20" x14ac:dyDescent="0.25">
      <c r="I13" s="19"/>
      <c r="J13" s="19"/>
      <c r="K13" s="19"/>
      <c r="L13" s="19"/>
      <c r="M13" s="19"/>
      <c r="N13" s="19" t="str">
        <f>IFERROR(VLOOKUP(I13,A4:F12,1,0),"NOT FOUND")</f>
        <v>NOT FOUND</v>
      </c>
      <c r="O13" s="19"/>
    </row>
    <row r="14" spans="1:20" x14ac:dyDescent="0.25">
      <c r="I14" s="19" t="s">
        <v>6</v>
      </c>
      <c r="J14" s="19"/>
      <c r="K14" s="19"/>
      <c r="L14" s="19"/>
      <c r="M14" s="19"/>
      <c r="N14" s="19"/>
      <c r="O14" s="19">
        <f>VLOOKUP(I14,A1:F9,6,0)</f>
        <v>2019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B9ADC-42CF-4863-BD1F-04EC542CC927}">
  <dimension ref="A1:T10"/>
  <sheetViews>
    <sheetView workbookViewId="0">
      <selection activeCell="A8" sqref="A8:E10"/>
    </sheetView>
  </sheetViews>
  <sheetFormatPr defaultRowHeight="15" x14ac:dyDescent="0.25"/>
  <cols>
    <col min="1" max="1" width="12.42578125" bestFit="1" customWidth="1"/>
    <col min="2" max="2" width="15.5703125" customWidth="1"/>
    <col min="5" max="5" width="16" bestFit="1" customWidth="1"/>
    <col min="6" max="6" width="10.7109375" customWidth="1"/>
    <col min="7" max="7" width="15.7109375" customWidth="1"/>
    <col min="15" max="15" width="13.42578125" customWidth="1"/>
    <col min="17" max="17" width="12.42578125" customWidth="1"/>
  </cols>
  <sheetData>
    <row r="1" spans="1:20" ht="24.75" thickBot="1" x14ac:dyDescent="0.3">
      <c r="B1" s="5" t="s">
        <v>2</v>
      </c>
      <c r="C1" s="4" t="s">
        <v>8</v>
      </c>
      <c r="D1" s="4" t="s">
        <v>12</v>
      </c>
      <c r="E1" s="4" t="s">
        <v>16</v>
      </c>
      <c r="F1" s="4" t="s">
        <v>20</v>
      </c>
      <c r="G1" s="4" t="s">
        <v>24</v>
      </c>
      <c r="O1" s="12" t="s">
        <v>0</v>
      </c>
      <c r="P1" s="13" t="s">
        <v>1</v>
      </c>
      <c r="Q1" s="13" t="s">
        <v>2</v>
      </c>
      <c r="R1" s="13" t="s">
        <v>3</v>
      </c>
      <c r="S1" s="12" t="s">
        <v>4</v>
      </c>
      <c r="T1" s="12" t="s">
        <v>5</v>
      </c>
    </row>
    <row r="2" spans="1:20" ht="24.75" thickBot="1" x14ac:dyDescent="0.3">
      <c r="B2" s="7" t="s">
        <v>33</v>
      </c>
      <c r="C2" s="11">
        <v>0.1</v>
      </c>
      <c r="D2" s="11">
        <v>0.08</v>
      </c>
      <c r="E2" s="11">
        <v>0.12</v>
      </c>
      <c r="F2" s="11">
        <v>0.15</v>
      </c>
      <c r="G2" s="11">
        <v>0.09</v>
      </c>
      <c r="O2" s="14" t="s">
        <v>6</v>
      </c>
      <c r="P2" s="15" t="s">
        <v>7</v>
      </c>
      <c r="Q2" s="15" t="s">
        <v>8</v>
      </c>
      <c r="R2" s="15" t="s">
        <v>9</v>
      </c>
      <c r="S2" s="14">
        <v>45000</v>
      </c>
      <c r="T2" s="14">
        <v>2019</v>
      </c>
    </row>
    <row r="3" spans="1:20" ht="24.75" thickBot="1" x14ac:dyDescent="0.3">
      <c r="O3" s="16" t="s">
        <v>10</v>
      </c>
      <c r="P3" s="17" t="s">
        <v>11</v>
      </c>
      <c r="Q3" s="17" t="s">
        <v>12</v>
      </c>
      <c r="R3" s="17" t="s">
        <v>13</v>
      </c>
      <c r="S3" s="16">
        <v>52000</v>
      </c>
      <c r="T3" s="16">
        <v>2018</v>
      </c>
    </row>
    <row r="4" spans="1:20" ht="24.75" thickBot="1" x14ac:dyDescent="0.3">
      <c r="O4" s="14" t="s">
        <v>14</v>
      </c>
      <c r="P4" s="15" t="s">
        <v>15</v>
      </c>
      <c r="Q4" s="15" t="s">
        <v>16</v>
      </c>
      <c r="R4" s="15" t="s">
        <v>17</v>
      </c>
      <c r="S4" s="14">
        <v>65000</v>
      </c>
      <c r="T4" s="14">
        <v>2020</v>
      </c>
    </row>
    <row r="5" spans="1:20" ht="24.75" thickBot="1" x14ac:dyDescent="0.3">
      <c r="O5" s="16" t="s">
        <v>18</v>
      </c>
      <c r="P5" s="17" t="s">
        <v>19</v>
      </c>
      <c r="Q5" s="17" t="s">
        <v>20</v>
      </c>
      <c r="R5" s="17" t="s">
        <v>21</v>
      </c>
      <c r="S5" s="16">
        <v>58000</v>
      </c>
      <c r="T5" s="16">
        <v>2017</v>
      </c>
    </row>
    <row r="6" spans="1:20" ht="24.75" thickBot="1" x14ac:dyDescent="0.3">
      <c r="O6" s="14" t="s">
        <v>22</v>
      </c>
      <c r="P6" s="15" t="s">
        <v>23</v>
      </c>
      <c r="Q6" s="15" t="s">
        <v>24</v>
      </c>
      <c r="R6" s="15" t="s">
        <v>9</v>
      </c>
      <c r="S6" s="14">
        <v>48000</v>
      </c>
      <c r="T6" s="14">
        <v>2021</v>
      </c>
    </row>
    <row r="7" spans="1:20" ht="24.75" thickBot="1" x14ac:dyDescent="0.3">
      <c r="O7" s="16" t="s">
        <v>25</v>
      </c>
      <c r="P7" s="17" t="s">
        <v>26</v>
      </c>
      <c r="Q7" s="17" t="s">
        <v>16</v>
      </c>
      <c r="R7" s="17" t="s">
        <v>27</v>
      </c>
      <c r="S7" s="16">
        <v>62000</v>
      </c>
      <c r="T7" s="16">
        <v>2019</v>
      </c>
    </row>
    <row r="8" spans="1:20" ht="24.75" thickBot="1" x14ac:dyDescent="0.3">
      <c r="A8" s="18" t="s">
        <v>34</v>
      </c>
      <c r="B8" s="18" t="s">
        <v>36</v>
      </c>
      <c r="C8" s="18" t="s">
        <v>40</v>
      </c>
      <c r="D8" s="18" t="s">
        <v>37</v>
      </c>
      <c r="E8" s="18" t="s">
        <v>42</v>
      </c>
      <c r="O8" s="14" t="s">
        <v>28</v>
      </c>
      <c r="P8" s="15" t="s">
        <v>29</v>
      </c>
      <c r="Q8" s="15" t="s">
        <v>8</v>
      </c>
      <c r="R8" s="15" t="s">
        <v>30</v>
      </c>
      <c r="S8" s="14">
        <v>47000</v>
      </c>
      <c r="T8" s="14">
        <v>2020</v>
      </c>
    </row>
    <row r="9" spans="1:20" ht="24.75" thickBot="1" x14ac:dyDescent="0.3">
      <c r="A9" s="19" t="s">
        <v>18</v>
      </c>
      <c r="B9" s="19" t="s">
        <v>41</v>
      </c>
      <c r="C9" s="20">
        <f>HLOOKUP(B9,B1:G2,2,0)</f>
        <v>0.15</v>
      </c>
      <c r="D9" s="19">
        <f>VLOOKUP(A9,O1:T9,5,0)</f>
        <v>58000</v>
      </c>
      <c r="E9" s="19">
        <f>D9*C9</f>
        <v>8700</v>
      </c>
      <c r="O9" s="16" t="s">
        <v>31</v>
      </c>
      <c r="P9" s="17" t="s">
        <v>32</v>
      </c>
      <c r="Q9" s="17" t="s">
        <v>12</v>
      </c>
      <c r="R9" s="17" t="s">
        <v>17</v>
      </c>
      <c r="S9" s="16">
        <v>54000</v>
      </c>
      <c r="T9" s="16">
        <v>2016</v>
      </c>
    </row>
    <row r="10" spans="1:20" x14ac:dyDescent="0.25">
      <c r="A10" s="19"/>
      <c r="B10" s="19" t="s">
        <v>43</v>
      </c>
      <c r="C10" s="19" t="str">
        <f>IFERROR(HLOOKUP(B10,B1:G2,2,0),"NO BONUS DATA")</f>
        <v>NO BONUS DATA</v>
      </c>
      <c r="D10" s="19"/>
      <c r="E10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555AC-121A-45DF-8230-CC087CD264A0}">
  <dimension ref="A1:Q17"/>
  <sheetViews>
    <sheetView tabSelected="1" workbookViewId="0">
      <selection activeCell="K6" sqref="K6"/>
    </sheetView>
  </sheetViews>
  <sheetFormatPr defaultRowHeight="15" x14ac:dyDescent="0.25"/>
  <cols>
    <col min="1" max="1" width="12.7109375" customWidth="1"/>
    <col min="2" max="2" width="14.140625" customWidth="1"/>
    <col min="3" max="3" width="12.7109375" customWidth="1"/>
    <col min="4" max="4" width="21.7109375" bestFit="1" customWidth="1"/>
    <col min="5" max="5" width="13.140625" bestFit="1" customWidth="1"/>
    <col min="6" max="6" width="10.140625" bestFit="1" customWidth="1"/>
  </cols>
  <sheetData>
    <row r="1" spans="1:17" ht="35.25" thickBot="1" x14ac:dyDescent="0.3">
      <c r="A1" s="12" t="s">
        <v>0</v>
      </c>
      <c r="B1" s="13" t="s">
        <v>1</v>
      </c>
      <c r="C1" s="13" t="s">
        <v>2</v>
      </c>
      <c r="D1" s="13" t="s">
        <v>3</v>
      </c>
      <c r="E1" s="12" t="s">
        <v>4</v>
      </c>
      <c r="F1" s="12" t="s">
        <v>5</v>
      </c>
      <c r="L1" s="2" t="s">
        <v>2</v>
      </c>
      <c r="M1" s="1" t="s">
        <v>8</v>
      </c>
      <c r="N1" s="1" t="s">
        <v>12</v>
      </c>
      <c r="O1" s="1" t="s">
        <v>16</v>
      </c>
      <c r="P1" s="1" t="s">
        <v>20</v>
      </c>
      <c r="Q1" s="1" t="s">
        <v>24</v>
      </c>
    </row>
    <row r="2" spans="1:17" ht="35.25" thickBot="1" x14ac:dyDescent="0.3">
      <c r="A2" s="14" t="s">
        <v>6</v>
      </c>
      <c r="B2" s="15" t="s">
        <v>7</v>
      </c>
      <c r="C2" s="15" t="s">
        <v>8</v>
      </c>
      <c r="D2" s="15" t="s">
        <v>9</v>
      </c>
      <c r="E2" s="14">
        <v>45000</v>
      </c>
      <c r="F2" s="14">
        <v>2019</v>
      </c>
      <c r="L2" s="3" t="s">
        <v>33</v>
      </c>
      <c r="M2" s="10">
        <v>0.1</v>
      </c>
      <c r="N2" s="10">
        <v>0.08</v>
      </c>
      <c r="O2" s="10">
        <v>0.12</v>
      </c>
      <c r="P2" s="10">
        <v>0.15</v>
      </c>
      <c r="Q2" s="10">
        <v>0.09</v>
      </c>
    </row>
    <row r="3" spans="1:17" ht="15.75" thickBot="1" x14ac:dyDescent="0.3">
      <c r="A3" s="16" t="s">
        <v>10</v>
      </c>
      <c r="B3" s="17" t="s">
        <v>11</v>
      </c>
      <c r="C3" s="17" t="s">
        <v>12</v>
      </c>
      <c r="D3" s="17" t="s">
        <v>13</v>
      </c>
      <c r="E3" s="16">
        <v>52000</v>
      </c>
      <c r="F3" s="16">
        <v>2018</v>
      </c>
    </row>
    <row r="4" spans="1:17" ht="24.75" thickBot="1" x14ac:dyDescent="0.3">
      <c r="A4" s="14" t="s">
        <v>14</v>
      </c>
      <c r="B4" s="15" t="s">
        <v>15</v>
      </c>
      <c r="C4" s="15" t="s">
        <v>16</v>
      </c>
      <c r="D4" s="15" t="s">
        <v>17</v>
      </c>
      <c r="E4" s="14">
        <v>65000</v>
      </c>
      <c r="F4" s="14">
        <v>2020</v>
      </c>
    </row>
    <row r="5" spans="1:17" ht="24.75" thickBot="1" x14ac:dyDescent="0.3">
      <c r="A5" s="16" t="s">
        <v>18</v>
      </c>
      <c r="B5" s="17" t="s">
        <v>19</v>
      </c>
      <c r="C5" s="17" t="s">
        <v>20</v>
      </c>
      <c r="D5" s="17" t="s">
        <v>21</v>
      </c>
      <c r="E5" s="16">
        <v>58000</v>
      </c>
      <c r="F5" s="16">
        <v>2017</v>
      </c>
    </row>
    <row r="6" spans="1:17" ht="24.75" thickBot="1" x14ac:dyDescent="0.3">
      <c r="A6" s="14" t="s">
        <v>22</v>
      </c>
      <c r="B6" s="15" t="s">
        <v>23</v>
      </c>
      <c r="C6" s="15" t="s">
        <v>24</v>
      </c>
      <c r="D6" s="15" t="s">
        <v>9</v>
      </c>
      <c r="E6" s="14">
        <v>48000</v>
      </c>
      <c r="F6" s="14">
        <v>2021</v>
      </c>
    </row>
    <row r="7" spans="1:17" ht="24.75" thickBot="1" x14ac:dyDescent="0.3">
      <c r="A7" s="16" t="s">
        <v>25</v>
      </c>
      <c r="B7" s="17" t="s">
        <v>26</v>
      </c>
      <c r="C7" s="17" t="s">
        <v>16</v>
      </c>
      <c r="D7" s="17" t="s">
        <v>27</v>
      </c>
      <c r="E7" s="16">
        <v>62000</v>
      </c>
      <c r="F7" s="16">
        <v>2019</v>
      </c>
    </row>
    <row r="8" spans="1:17" ht="24.75" thickBot="1" x14ac:dyDescent="0.3">
      <c r="A8" s="14" t="s">
        <v>28</v>
      </c>
      <c r="B8" s="15" t="s">
        <v>29</v>
      </c>
      <c r="C8" s="15" t="s">
        <v>8</v>
      </c>
      <c r="D8" s="15" t="s">
        <v>30</v>
      </c>
      <c r="E8" s="14">
        <v>47000</v>
      </c>
      <c r="F8" s="14">
        <v>2020</v>
      </c>
    </row>
    <row r="9" spans="1:17" ht="24.75" thickBot="1" x14ac:dyDescent="0.3">
      <c r="A9" s="16" t="s">
        <v>31</v>
      </c>
      <c r="B9" s="17" t="s">
        <v>32</v>
      </c>
      <c r="C9" s="17" t="s">
        <v>12</v>
      </c>
      <c r="D9" s="17" t="s">
        <v>17</v>
      </c>
      <c r="E9" s="16">
        <v>54000</v>
      </c>
      <c r="F9" s="16">
        <v>2016</v>
      </c>
    </row>
    <row r="14" spans="1:17" x14ac:dyDescent="0.25">
      <c r="B14" s="18" t="s">
        <v>34</v>
      </c>
      <c r="C14" s="18" t="s">
        <v>37</v>
      </c>
      <c r="D14" s="18" t="s">
        <v>44</v>
      </c>
      <c r="E14" s="18" t="s">
        <v>36</v>
      </c>
      <c r="F14" s="18" t="s">
        <v>38</v>
      </c>
      <c r="G14" s="18" t="s">
        <v>46</v>
      </c>
    </row>
    <row r="15" spans="1:17" x14ac:dyDescent="0.25">
      <c r="B15" s="19" t="s">
        <v>6</v>
      </c>
      <c r="C15" s="19">
        <f>_xlfn.XLOOKUP(B15,A2:A9,E2:E9)</f>
        <v>45000</v>
      </c>
      <c r="D15" s="19" t="str">
        <f>_xlfn.XLOOKUP(B15,A2:A9,B2:B9)</f>
        <v>Rahul Sharma</v>
      </c>
      <c r="E15" s="19" t="str">
        <f>_xlfn.XLOOKUP(D15,B2:B9,C2:C9)</f>
        <v>Sales</v>
      </c>
      <c r="F15" s="19"/>
      <c r="G15" s="20">
        <f>_xlfn.XLOOKUP(M1,L1:Q1,L2:Q2)</f>
        <v>0.1</v>
      </c>
    </row>
    <row r="16" spans="1:17" x14ac:dyDescent="0.25">
      <c r="B16" s="19" t="s">
        <v>14</v>
      </c>
      <c r="C16" s="19"/>
      <c r="D16" s="19" t="str">
        <f>_xlfn.XLOOKUP(B16,A3:A10,B3:B10)</f>
        <v>Rohit Verma</v>
      </c>
      <c r="E16" s="19"/>
      <c r="F16" s="19" t="str">
        <f>_xlfn.XLOOKUP(D16,B2:B9,D2:D9)</f>
        <v>Bangalore</v>
      </c>
      <c r="G16" s="19"/>
    </row>
    <row r="17" spans="2:7" x14ac:dyDescent="0.25">
      <c r="B17" s="19" t="s">
        <v>45</v>
      </c>
      <c r="C17" s="19"/>
      <c r="D17" s="19" t="str">
        <f>IFERROR(_xlfn.XLOOKUP(B17,A2:A9,B2:B9),"EMPLOYEE NOT FOUND")</f>
        <v>EMPLOYEE NOT FOUND</v>
      </c>
      <c r="E17" s="19"/>
      <c r="F17" s="19"/>
      <c r="G17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</vt:lpstr>
      <vt:lpstr>HLOOKUP</vt:lpstr>
      <vt:lpstr>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</dc:creator>
  <cp:lastModifiedBy>ASDC1</cp:lastModifiedBy>
  <dcterms:created xsi:type="dcterms:W3CDTF">2026-02-01T04:42:17Z</dcterms:created>
  <dcterms:modified xsi:type="dcterms:W3CDTF">2026-02-01T05:51:29Z</dcterms:modified>
</cp:coreProperties>
</file>